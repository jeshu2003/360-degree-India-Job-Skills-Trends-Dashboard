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hu\OneDrive\Desktop\360 degree India Job Skills Trends Dashboard Real-Time Analytics\"/>
    </mc:Choice>
  </mc:AlternateContent>
  <xr:revisionPtr revIDLastSave="0" documentId="13_ncr:1_{858CA806-CCA2-4F02-88D4-4D50758FD741}" xr6:coauthVersionLast="47" xr6:coauthVersionMax="47" xr10:uidLastSave="{00000000-0000-0000-0000-000000000000}"/>
  <bookViews>
    <workbookView xWindow="-108" yWindow="-108" windowWidth="23256" windowHeight="12456" activeTab="1" xr2:uid="{364FAC99-4524-46AB-A85B-78EA88278A23}"/>
  </bookViews>
  <sheets>
    <sheet name="Dashboard" sheetId="3" r:id="rId1"/>
    <sheet name="Pivot Table" sheetId="2" r:id="rId2"/>
    <sheet name="jobs_dataset" sheetId="1" r:id="rId3"/>
  </sheets>
  <definedNames>
    <definedName name="_xlnm._FilterDatabase" localSheetId="2" hidden="1">jobs_dataset!$B$1:$B$101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<sst xmlns="http://schemas.openxmlformats.org/spreadsheetml/2006/main" count="738" uniqueCount="83">
  <si>
    <t>Job ID</t>
  </si>
  <si>
    <t>Skill</t>
  </si>
  <si>
    <t>Job Title</t>
  </si>
  <si>
    <t>City</t>
  </si>
  <si>
    <t>Trend Status</t>
  </si>
  <si>
    <t>Layoff Possibility</t>
  </si>
  <si>
    <t>Strategic Thinking</t>
  </si>
  <si>
    <t>Data Analyst</t>
  </si>
  <si>
    <t>Chennai</t>
  </si>
  <si>
    <t>Banking</t>
  </si>
  <si>
    <t>Essential</t>
  </si>
  <si>
    <t>Low</t>
  </si>
  <si>
    <t>Cloud Computing</t>
  </si>
  <si>
    <t>Blockchain Developer</t>
  </si>
  <si>
    <t>Hyderabad</t>
  </si>
  <si>
    <t>Energy</t>
  </si>
  <si>
    <t>Rising</t>
  </si>
  <si>
    <t>Business Analyst</t>
  </si>
  <si>
    <t>Ahmedabad</t>
  </si>
  <si>
    <t>Growing</t>
  </si>
  <si>
    <t>Data Analysis</t>
  </si>
  <si>
    <t>ML Specialist</t>
  </si>
  <si>
    <t>Delhi</t>
  </si>
  <si>
    <t>Business Services</t>
  </si>
  <si>
    <t>Surging</t>
  </si>
  <si>
    <t>Problem Solving</t>
  </si>
  <si>
    <t>Statistician</t>
  </si>
  <si>
    <t>Environment</t>
  </si>
  <si>
    <t>Medium</t>
  </si>
  <si>
    <t>Security Analyst</t>
  </si>
  <si>
    <t>Bangalore</t>
  </si>
  <si>
    <t>Healthcare</t>
  </si>
  <si>
    <t>Emerging</t>
  </si>
  <si>
    <t>Cloud Architect</t>
  </si>
  <si>
    <t>General</t>
  </si>
  <si>
    <t>Sustainability Officer</t>
  </si>
  <si>
    <t>Pune</t>
  </si>
  <si>
    <t>Cybersecurity</t>
  </si>
  <si>
    <t>Kolkata</t>
  </si>
  <si>
    <t>Team Lead</t>
  </si>
  <si>
    <t>Digital Marketing</t>
  </si>
  <si>
    <t>High</t>
  </si>
  <si>
    <t>Blockchain</t>
  </si>
  <si>
    <t>Process Consultant</t>
  </si>
  <si>
    <t>Mumbai</t>
  </si>
  <si>
    <t>AI Engineer</t>
  </si>
  <si>
    <t>BFSI</t>
  </si>
  <si>
    <t>Communication</t>
  </si>
  <si>
    <t>Critical</t>
  </si>
  <si>
    <t>Customer Success Manager</t>
  </si>
  <si>
    <t>Machine Learning</t>
  </si>
  <si>
    <t>Digital Strategist</t>
  </si>
  <si>
    <t>Customer Engagement</t>
  </si>
  <si>
    <t>Statistical Data Analysis</t>
  </si>
  <si>
    <t>Education</t>
  </si>
  <si>
    <t>Communication Lead</t>
  </si>
  <si>
    <t>Needed</t>
  </si>
  <si>
    <t>LLM Specialist</t>
  </si>
  <si>
    <t>Job End Year</t>
  </si>
  <si>
    <t>Industry</t>
  </si>
  <si>
    <t>IT</t>
  </si>
  <si>
    <t>Retail</t>
  </si>
  <si>
    <t>Technology</t>
  </si>
  <si>
    <t>AI</t>
  </si>
  <si>
    <t>Large Language Models</t>
  </si>
  <si>
    <t>Sustainability Green Skills</t>
  </si>
  <si>
    <t>Leadership</t>
  </si>
  <si>
    <t>Supply</t>
  </si>
  <si>
    <t>Salary(LPA)</t>
  </si>
  <si>
    <t>Row Labels</t>
  </si>
  <si>
    <t>Grand Total</t>
  </si>
  <si>
    <t>Column Labels</t>
  </si>
  <si>
    <t>Average of Salary(LPA)</t>
  </si>
  <si>
    <t>(All)</t>
  </si>
  <si>
    <t>Count of Skill</t>
  </si>
  <si>
    <t>Comprehensive Job Market Analytics – Pivot Table Insights</t>
  </si>
  <si>
    <t>Job Count by Skill and City</t>
  </si>
  <si>
    <t>Average Salary by Job Title and Industry</t>
  </si>
  <si>
    <t>Layoff Possibility by Trend Status and Industry</t>
  </si>
  <si>
    <t>Skill Trend by Year and Trend Status</t>
  </si>
  <si>
    <t>No of employees</t>
  </si>
  <si>
    <t>No of Employees</t>
  </si>
  <si>
    <t xml:space="preserve">Multi-Factor Risk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</si>
</sst>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14" xfId="0" pivotButton="1" applyBorder="1"/>
    <xf numFmtId="0" fontId="0" fillId="0" borderId="15" xfId="0" applyBorder="1"/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49" fontId="0" fillId="0" borderId="15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0" fontId="0" fillId="0" borderId="12" xfId="0" applyBorder="1"/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0" fillId="0" borderId="10" xfId="0" pivotButton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9" xfId="0" pivotButton="1" applyBorder="1"/>
    <xf numFmtId="1" fontId="0" fillId="34" borderId="0" xfId="0" applyNumberFormat="1" applyFill="1"/>
    <xf numFmtId="49" fontId="0" fillId="34" borderId="0" xfId="0" applyNumberFormat="1" applyFill="1"/>
    <xf numFmtId="164" fontId="0" fillId="34" borderId="0" xfId="0" applyNumberFormat="1" applyFill="1"/>
    <xf numFmtId="0" fontId="0" fillId="34" borderId="0" xfId="0" applyFill="1"/>
    <xf numFmtId="0" fontId="0" fillId="34" borderId="0" xfId="0" applyFill="1" applyAlignment="1">
      <alignment horizontal="left"/>
    </xf>
    <xf numFmtId="1" fontId="13" fillId="35" borderId="0" xfId="0" applyNumberFormat="1" applyFont="1" applyFill="1"/>
    <xf numFmtId="49" fontId="13" fillId="35" borderId="0" xfId="0" applyNumberFormat="1" applyFont="1" applyFill="1"/>
    <xf numFmtId="0" fontId="13" fillId="35" borderId="0" xfId="0" applyFont="1" applyFill="1"/>
    <xf numFmtId="0" fontId="20" fillId="0" borderId="14" xfId="0" pivotButton="1" applyFont="1" applyBorder="1"/>
    <xf numFmtId="0" fontId="20" fillId="0" borderId="0" xfId="0" pivotButton="1" applyFont="1"/>
    <xf numFmtId="0" fontId="20" fillId="0" borderId="0" xfId="0" applyFont="1"/>
    <xf numFmtId="0" fontId="20" fillId="0" borderId="15" xfId="0" applyFont="1" applyBorder="1"/>
    <xf numFmtId="0" fontId="20" fillId="0" borderId="14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1" fillId="0" borderId="14" xfId="0" pivotButton="1" applyFont="1" applyBorder="1"/>
    <xf numFmtId="0" fontId="21" fillId="0" borderId="0" xfId="0" pivotButton="1" applyFont="1"/>
    <xf numFmtId="0" fontId="21" fillId="0" borderId="0" xfId="0" applyFont="1"/>
    <xf numFmtId="0" fontId="21" fillId="0" borderId="15" xfId="0" applyFont="1" applyBorder="1"/>
    <xf numFmtId="0" fontId="21" fillId="0" borderId="14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17" xfId="0" applyFont="1" applyBorder="1"/>
    <xf numFmtId="0" fontId="21" fillId="0" borderId="18" xfId="0" applyFont="1" applyBorder="1"/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NumberFormat="1" applyBorder="1"/>
    <xf numFmtId="0" fontId="0" fillId="0" borderId="15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0"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 style="thick">
          <color indexed="64"/>
        </left>
        <right style="thick">
          <color indexed="64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[jobs_dataset.xlsx]Pivot Table!Job Count by Skill and City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Count by Skill and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Ahmedabad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Table'!$B$7:$B$22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2</c:v>
                </c:pt>
                <c:pt idx="7">
                  <c:v>1</c:v>
                </c:pt>
                <c:pt idx="8">
                  <c:v>1</c:v>
                </c:pt>
                <c:pt idx="10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6-4C6C-BAC0-826FF16DF0B9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Bangalore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Table'!$C$7:$C$22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5">
                  <c:v>2</c:v>
                </c:pt>
                <c:pt idx="7">
                  <c:v>2</c:v>
                </c:pt>
                <c:pt idx="8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D6-4C6C-BAC0-826FF16DF0B9}"/>
            </c:ext>
          </c:extLst>
        </c:ser>
        <c:ser>
          <c:idx val="2"/>
          <c:order val="2"/>
          <c:tx>
            <c:strRef>
              <c:f>'Pivot Table'!$D$5:$D$6</c:f>
              <c:strCache>
                <c:ptCount val="1"/>
                <c:pt idx="0">
                  <c:v>Chennai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Table'!$D$7:$D$22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4">
                  <c:v>1</c:v>
                </c:pt>
                <c:pt idx="7">
                  <c:v>1</c:v>
                </c:pt>
                <c:pt idx="8">
                  <c:v>2</c:v>
                </c:pt>
                <c:pt idx="10">
                  <c:v>1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D6-4C6C-BAC0-826FF16DF0B9}"/>
            </c:ext>
          </c:extLst>
        </c:ser>
        <c:ser>
          <c:idx val="3"/>
          <c:order val="3"/>
          <c:tx>
            <c:strRef>
              <c:f>'Pivot Table'!$E$5:$E$6</c:f>
              <c:strCache>
                <c:ptCount val="1"/>
                <c:pt idx="0">
                  <c:v>Delhi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Table'!$E$7:$E$22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3">
                  <c:v>1</c:v>
                </c:pt>
                <c:pt idx="5">
                  <c:v>2</c:v>
                </c:pt>
                <c:pt idx="6">
                  <c:v>1</c:v>
                </c:pt>
                <c:pt idx="11">
                  <c:v>4</c:v>
                </c:pt>
                <c:pt idx="12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D6-4C6C-BAC0-826FF16DF0B9}"/>
            </c:ext>
          </c:extLst>
        </c:ser>
        <c:ser>
          <c:idx val="4"/>
          <c:order val="4"/>
          <c:tx>
            <c:strRef>
              <c:f>'Pivot Table'!$F$5:$F$6</c:f>
              <c:strCache>
                <c:ptCount val="1"/>
                <c:pt idx="0">
                  <c:v>Hyderabad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Table'!$F$7:$F$22</c:f>
              <c:numCache>
                <c:formatCode>General</c:formatCode>
                <c:ptCount val="15"/>
                <c:pt idx="0">
                  <c:v>2</c:v>
                </c:pt>
                <c:pt idx="2">
                  <c:v>2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D6-4C6C-BAC0-826FF16DF0B9}"/>
            </c:ext>
          </c:extLst>
        </c:ser>
        <c:ser>
          <c:idx val="5"/>
          <c:order val="5"/>
          <c:tx>
            <c:strRef>
              <c:f>'Pivot Table'!$G$5:$G$6</c:f>
              <c:strCache>
                <c:ptCount val="1"/>
                <c:pt idx="0">
                  <c:v>Kolkata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Table'!$G$7:$G$22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5">
                  <c:v>2</c:v>
                </c:pt>
                <c:pt idx="7">
                  <c:v>1</c:v>
                </c:pt>
                <c:pt idx="12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D6-4C6C-BAC0-826FF16DF0B9}"/>
            </c:ext>
          </c:extLst>
        </c:ser>
        <c:ser>
          <c:idx val="6"/>
          <c:order val="6"/>
          <c:tx>
            <c:strRef>
              <c:f>'Pivot Table'!$H$5:$H$6</c:f>
              <c:strCache>
                <c:ptCount val="1"/>
                <c:pt idx="0">
                  <c:v>Mumbai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Table'!$H$7:$H$22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3</c:v>
                </c:pt>
                <c:pt idx="9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D6-4C6C-BAC0-826FF16DF0B9}"/>
            </c:ext>
          </c:extLst>
        </c:ser>
        <c:ser>
          <c:idx val="7"/>
          <c:order val="7"/>
          <c:tx>
            <c:strRef>
              <c:f>'Pivot Table'!$I$5:$I$6</c:f>
              <c:strCache>
                <c:ptCount val="1"/>
                <c:pt idx="0">
                  <c:v>Pune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Table'!$A$7:$A$22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Table'!$I$7:$I$22</c:f>
              <c:numCache>
                <c:formatCode>General</c:formatCode>
                <c:ptCount val="15"/>
                <c:pt idx="0">
                  <c:v>3</c:v>
                </c:pt>
                <c:pt idx="5">
                  <c:v>3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D6-4C6C-BAC0-826FF16DF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1234944"/>
        <c:axId val="2111235904"/>
      </c:barChart>
      <c:catAx>
        <c:axId val="21112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35904"/>
        <c:crosses val="autoZero"/>
        <c:auto val="1"/>
        <c:lblAlgn val="ctr"/>
        <c:lblOffset val="100"/>
        <c:noMultiLvlLbl val="0"/>
      </c:catAx>
      <c:valAx>
        <c:axId val="21112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3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Average Salary by Job Title and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Banking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10</c:v>
              </c:pt>
              <c:pt idx="2">
                <c:v>27</c:v>
              </c:pt>
              <c:pt idx="3">
                <c:v>0</c:v>
              </c:pt>
              <c:pt idx="4">
                <c:v>0</c:v>
              </c:pt>
              <c:pt idx="5">
                <c:v>13.5</c:v>
              </c:pt>
              <c:pt idx="6">
                <c:v>9</c:v>
              </c:pt>
              <c:pt idx="7">
                <c:v>0</c:v>
              </c:pt>
              <c:pt idx="8">
                <c:v>0</c:v>
              </c:pt>
              <c:pt idx="9">
                <c:v>27</c:v>
              </c:pt>
              <c:pt idx="10">
                <c:v>0</c:v>
              </c:pt>
              <c:pt idx="11">
                <c:v>11</c:v>
              </c:pt>
              <c:pt idx="12">
                <c:v>19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F09-4CE8-8AE5-45ADA2277527}"/>
            </c:ext>
          </c:extLst>
        </c:ser>
        <c:ser>
          <c:idx val="1"/>
          <c:order val="1"/>
          <c:tx>
            <c:v>BFSI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12</c:v>
              </c:pt>
              <c:pt idx="7">
                <c:v>0</c:v>
              </c:pt>
              <c:pt idx="8">
                <c:v>0</c:v>
              </c:pt>
              <c:pt idx="9">
                <c:v>5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28</c:v>
              </c:pt>
              <c:pt idx="14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1-EF09-4CE8-8AE5-45ADA2277527}"/>
            </c:ext>
          </c:extLst>
        </c:ser>
        <c:ser>
          <c:idx val="2"/>
          <c:order val="2"/>
          <c:tx>
            <c:v>Business Services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20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30</c:v>
              </c:pt>
              <c:pt idx="8">
                <c:v>40</c:v>
              </c:pt>
              <c:pt idx="9">
                <c:v>10</c:v>
              </c:pt>
              <c:pt idx="10">
                <c:v>20</c:v>
              </c:pt>
              <c:pt idx="11">
                <c:v>0</c:v>
              </c:pt>
              <c:pt idx="12">
                <c:v>0</c:v>
              </c:pt>
              <c:pt idx="13">
                <c:v>18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F09-4CE8-8AE5-45ADA2277527}"/>
            </c:ext>
          </c:extLst>
        </c:ser>
        <c:ser>
          <c:idx val="3"/>
          <c:order val="3"/>
          <c:tx>
            <c:v>Education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25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30</c:v>
              </c:pt>
              <c:pt idx="14">
                <c:v>33</c:v>
              </c:pt>
            </c:numLit>
          </c:val>
          <c:extLst>
            <c:ext xmlns:c16="http://schemas.microsoft.com/office/drawing/2014/chart" uri="{C3380CC4-5D6E-409C-BE32-E72D297353CC}">
              <c16:uniqueId val="{00000003-EF09-4CE8-8AE5-45ADA2277527}"/>
            </c:ext>
          </c:extLst>
        </c:ser>
        <c:ser>
          <c:idx val="4"/>
          <c:order val="4"/>
          <c:tx>
            <c:v>Energy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30.5</c:v>
              </c:pt>
              <c:pt idx="2">
                <c:v>30</c:v>
              </c:pt>
              <c:pt idx="3">
                <c:v>0</c:v>
              </c:pt>
              <c:pt idx="4">
                <c:v>11</c:v>
              </c:pt>
              <c:pt idx="5">
                <c:v>23</c:v>
              </c:pt>
              <c:pt idx="6">
                <c:v>13</c:v>
              </c:pt>
              <c:pt idx="7">
                <c:v>0</c:v>
              </c:pt>
              <c:pt idx="8">
                <c:v>0</c:v>
              </c:pt>
              <c:pt idx="9">
                <c:v>25.5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32</c:v>
              </c:pt>
              <c:pt idx="14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4-EF09-4CE8-8AE5-45ADA2277527}"/>
            </c:ext>
          </c:extLst>
        </c:ser>
        <c:ser>
          <c:idx val="5"/>
          <c:order val="5"/>
          <c:tx>
            <c:v>Environment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18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15.5</c:v>
              </c:pt>
              <c:pt idx="10">
                <c:v>0</c:v>
              </c:pt>
              <c:pt idx="11">
                <c:v>27</c:v>
              </c:pt>
              <c:pt idx="12">
                <c:v>5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EF09-4CE8-8AE5-45ADA2277527}"/>
            </c:ext>
          </c:extLst>
        </c:ser>
        <c:ser>
          <c:idx val="6"/>
          <c:order val="6"/>
          <c:tx>
            <c:v>General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13</c:v>
              </c:pt>
              <c:pt idx="1">
                <c:v>0</c:v>
              </c:pt>
              <c:pt idx="2">
                <c:v>25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30</c:v>
              </c:pt>
              <c:pt idx="10">
                <c:v>19</c:v>
              </c:pt>
              <c:pt idx="11">
                <c:v>0</c:v>
              </c:pt>
              <c:pt idx="12">
                <c:v>0</c:v>
              </c:pt>
              <c:pt idx="13">
                <c:v>25</c:v>
              </c:pt>
              <c:pt idx="1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6-EF09-4CE8-8AE5-45ADA2277527}"/>
            </c:ext>
          </c:extLst>
        </c:ser>
        <c:ser>
          <c:idx val="7"/>
          <c:order val="7"/>
          <c:tx>
            <c:v>Healthcare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32</c:v>
              </c:pt>
              <c:pt idx="1">
                <c:v>0</c:v>
              </c:pt>
              <c:pt idx="2">
                <c:v>0</c:v>
              </c:pt>
              <c:pt idx="3">
                <c:v>20.5</c:v>
              </c:pt>
              <c:pt idx="4">
                <c:v>0</c:v>
              </c:pt>
              <c:pt idx="5">
                <c:v>13</c:v>
              </c:pt>
              <c:pt idx="6">
                <c:v>0</c:v>
              </c:pt>
              <c:pt idx="7">
                <c:v>0</c:v>
              </c:pt>
              <c:pt idx="8">
                <c:v>12</c:v>
              </c:pt>
              <c:pt idx="9">
                <c:v>0</c:v>
              </c:pt>
              <c:pt idx="10">
                <c:v>0</c:v>
              </c:pt>
              <c:pt idx="11">
                <c:v>24</c:v>
              </c:pt>
              <c:pt idx="12">
                <c:v>28.333333333333332</c:v>
              </c:pt>
              <c:pt idx="13">
                <c:v>0</c:v>
              </c:pt>
              <c:pt idx="14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7-EF09-4CE8-8AE5-45ADA2277527}"/>
            </c:ext>
          </c:extLst>
        </c:ser>
        <c:ser>
          <c:idx val="8"/>
          <c:order val="8"/>
          <c:tx>
            <c:v>IT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18</c:v>
              </c:pt>
              <c:pt idx="3">
                <c:v>0</c:v>
              </c:pt>
              <c:pt idx="4">
                <c:v>17</c:v>
              </c:pt>
              <c:pt idx="5">
                <c:v>0</c:v>
              </c:pt>
              <c:pt idx="6">
                <c:v>18</c:v>
              </c:pt>
              <c:pt idx="7">
                <c:v>0</c:v>
              </c:pt>
              <c:pt idx="8">
                <c:v>7</c:v>
              </c:pt>
              <c:pt idx="9">
                <c:v>0</c:v>
              </c:pt>
              <c:pt idx="10">
                <c:v>0</c:v>
              </c:pt>
              <c:pt idx="11">
                <c:v>19</c:v>
              </c:pt>
              <c:pt idx="12">
                <c:v>23</c:v>
              </c:pt>
              <c:pt idx="13">
                <c:v>22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EF09-4CE8-8AE5-45ADA2277527}"/>
            </c:ext>
          </c:extLst>
        </c:ser>
        <c:ser>
          <c:idx val="9"/>
          <c:order val="9"/>
          <c:tx>
            <c:v>Retail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18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15</c:v>
              </c:pt>
              <c:pt idx="13">
                <c:v>0</c:v>
              </c:pt>
              <c:pt idx="14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9-EF09-4CE8-8AE5-45ADA2277527}"/>
            </c:ext>
          </c:extLst>
        </c:ser>
        <c:ser>
          <c:idx val="10"/>
          <c:order val="10"/>
          <c:tx>
            <c:v>Supply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38</c:v>
              </c:pt>
              <c:pt idx="1">
                <c:v>35.5</c:v>
              </c:pt>
              <c:pt idx="2">
                <c:v>9</c:v>
              </c:pt>
              <c:pt idx="3">
                <c:v>0</c:v>
              </c:pt>
              <c:pt idx="4">
                <c:v>0</c:v>
              </c:pt>
              <c:pt idx="5">
                <c:v>29</c:v>
              </c:pt>
              <c:pt idx="6">
                <c:v>17</c:v>
              </c:pt>
              <c:pt idx="7">
                <c:v>0</c:v>
              </c:pt>
              <c:pt idx="8">
                <c:v>0</c:v>
              </c:pt>
              <c:pt idx="9">
                <c:v>33.5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29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EF09-4CE8-8AE5-45ADA2277527}"/>
            </c:ext>
          </c:extLst>
        </c:ser>
        <c:ser>
          <c:idx val="11"/>
          <c:order val="11"/>
          <c:tx>
            <c:v>Technology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AI Engineer</c:v>
              </c:pt>
              <c:pt idx="1">
                <c:v>Blockchain Developer</c:v>
              </c:pt>
              <c:pt idx="2">
                <c:v>Business Analyst</c:v>
              </c:pt>
              <c:pt idx="3">
                <c:v>Cloud Architect</c:v>
              </c:pt>
              <c:pt idx="4">
                <c:v>Communication Lead</c:v>
              </c:pt>
              <c:pt idx="5">
                <c:v>Customer Success Manager</c:v>
              </c:pt>
              <c:pt idx="6">
                <c:v>Data Analyst</c:v>
              </c:pt>
              <c:pt idx="7">
                <c:v>Digital Strategist</c:v>
              </c:pt>
              <c:pt idx="8">
                <c:v>LLM Specialist</c:v>
              </c:pt>
              <c:pt idx="9">
                <c:v>ML Specialist</c:v>
              </c:pt>
              <c:pt idx="10">
                <c:v>Process Consultant</c:v>
              </c:pt>
              <c:pt idx="11">
                <c:v>Security Analyst</c:v>
              </c:pt>
              <c:pt idx="12">
                <c:v>Statistician</c:v>
              </c:pt>
              <c:pt idx="13">
                <c:v>Sustainability Officer</c:v>
              </c:pt>
              <c:pt idx="14">
                <c:v>Team Lead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20</c:v>
              </c:pt>
              <c:pt idx="3">
                <c:v>34</c:v>
              </c:pt>
              <c:pt idx="4">
                <c:v>0</c:v>
              </c:pt>
              <c:pt idx="5">
                <c:v>26</c:v>
              </c:pt>
              <c:pt idx="6">
                <c:v>0</c:v>
              </c:pt>
              <c:pt idx="7">
                <c:v>0</c:v>
              </c:pt>
              <c:pt idx="8">
                <c:v>25.5</c:v>
              </c:pt>
              <c:pt idx="9">
                <c:v>0</c:v>
              </c:pt>
              <c:pt idx="10">
                <c:v>0</c:v>
              </c:pt>
              <c:pt idx="11">
                <c:v>22</c:v>
              </c:pt>
              <c:pt idx="12">
                <c:v>16</c:v>
              </c:pt>
              <c:pt idx="13">
                <c:v>15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B-EF09-4CE8-8AE5-45ADA2277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8763120"/>
        <c:axId val="388770800"/>
      </c:barChart>
      <c:catAx>
        <c:axId val="3887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70800"/>
        <c:crosses val="autoZero"/>
        <c:auto val="1"/>
        <c:lblAlgn val="ctr"/>
        <c:lblOffset val="100"/>
        <c:noMultiLvlLbl val="0"/>
      </c:catAx>
      <c:valAx>
        <c:axId val="3887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6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Layoff Possibility by Trend Status and Industry</a:t>
            </a:r>
          </a:p>
        </c:rich>
      </c:tx>
      <c:layout>
        <c:manualLayout>
          <c:xMode val="edge"/>
          <c:yMode val="edge"/>
          <c:x val="0.3648943139588901"/>
          <c:y val="1.8533933083684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Banking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5</c:v>
              </c:pt>
              <c:pt idx="3">
                <c:v>2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6F4-4EEA-806A-ECFF1D5140D8}"/>
            </c:ext>
          </c:extLst>
        </c:ser>
        <c:ser>
          <c:idx val="1"/>
          <c:order val="1"/>
          <c:tx>
            <c:v>BFSI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3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6F4-4EEA-806A-ECFF1D5140D8}"/>
            </c:ext>
          </c:extLst>
        </c:ser>
        <c:ser>
          <c:idx val="2"/>
          <c:order val="2"/>
          <c:tx>
            <c:v>Business Services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16F4-4EEA-806A-ECFF1D5140D8}"/>
            </c:ext>
          </c:extLst>
        </c:ser>
        <c:ser>
          <c:idx val="3"/>
          <c:order val="3"/>
          <c:tx>
            <c:v>Education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16F4-4EEA-806A-ECFF1D5140D8}"/>
            </c:ext>
          </c:extLst>
        </c:ser>
        <c:ser>
          <c:idx val="4"/>
          <c:order val="4"/>
          <c:tx>
            <c:v>Energy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3</c:v>
              </c:pt>
              <c:pt idx="4">
                <c:v>0</c:v>
              </c:pt>
              <c:pt idx="5">
                <c:v>4</c:v>
              </c:pt>
              <c:pt idx="6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4-16F4-4EEA-806A-ECFF1D5140D8}"/>
            </c:ext>
          </c:extLst>
        </c:ser>
        <c:ser>
          <c:idx val="5"/>
          <c:order val="5"/>
          <c:tx>
            <c:v>Environment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3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6F4-4EEA-806A-ECFF1D5140D8}"/>
            </c:ext>
          </c:extLst>
        </c:ser>
        <c:ser>
          <c:idx val="6"/>
          <c:order val="6"/>
          <c:tx>
            <c:v>General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1</c:v>
              </c:pt>
              <c:pt idx="4">
                <c:v>0</c:v>
              </c:pt>
              <c:pt idx="5">
                <c:v>2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16F4-4EEA-806A-ECFF1D5140D8}"/>
            </c:ext>
          </c:extLst>
        </c:ser>
        <c:ser>
          <c:idx val="7"/>
          <c:order val="7"/>
          <c:tx>
            <c:v>Healthcare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3</c:v>
              </c:pt>
              <c:pt idx="2">
                <c:v>0</c:v>
              </c:pt>
              <c:pt idx="3">
                <c:v>4</c:v>
              </c:pt>
              <c:pt idx="4">
                <c:v>0</c:v>
              </c:pt>
              <c:pt idx="5">
                <c:v>4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16F4-4EEA-806A-ECFF1D5140D8}"/>
            </c:ext>
          </c:extLst>
        </c:ser>
        <c:ser>
          <c:idx val="8"/>
          <c:order val="8"/>
          <c:tx>
            <c:v>IT</c:v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8-16F4-4EEA-806A-ECFF1D5140D8}"/>
            </c:ext>
          </c:extLst>
        </c:ser>
        <c:ser>
          <c:idx val="9"/>
          <c:order val="9"/>
          <c:tx>
            <c:v>Retail</c:v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9-16F4-4EEA-806A-ECFF1D5140D8}"/>
            </c:ext>
          </c:extLst>
        </c:ser>
        <c:ser>
          <c:idx val="10"/>
          <c:order val="10"/>
          <c:tx>
            <c:v>Supply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4</c:v>
              </c:pt>
              <c:pt idx="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A-16F4-4EEA-806A-ECFF1D5140D8}"/>
            </c:ext>
          </c:extLst>
        </c:ser>
        <c:ser>
          <c:idx val="11"/>
          <c:order val="11"/>
          <c:tx>
            <c:v>Technology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Critical</c:v>
              </c:pt>
              <c:pt idx="1">
                <c:v>Emerging</c:v>
              </c:pt>
              <c:pt idx="2">
                <c:v>Essential</c:v>
              </c:pt>
              <c:pt idx="3">
                <c:v>Growing</c:v>
              </c:pt>
              <c:pt idx="4">
                <c:v>Needed</c:v>
              </c:pt>
              <c:pt idx="5">
                <c:v>Rising</c:v>
              </c:pt>
              <c:pt idx="6">
                <c:v>Surging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3</c:v>
              </c:pt>
              <c:pt idx="2">
                <c:v>2</c:v>
              </c:pt>
              <c:pt idx="3">
                <c:v>1</c:v>
              </c:pt>
              <c:pt idx="4">
                <c:v>0</c:v>
              </c:pt>
              <c:pt idx="5">
                <c:v>2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B-16F4-4EEA-806A-ECFF1D514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2274208"/>
        <c:axId val="662285248"/>
      </c:barChart>
      <c:catAx>
        <c:axId val="66227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5248"/>
        <c:crosses val="autoZero"/>
        <c:auto val="1"/>
        <c:lblAlgn val="ctr"/>
        <c:lblOffset val="100"/>
        <c:noMultiLvlLbl val="0"/>
      </c:catAx>
      <c:valAx>
        <c:axId val="6622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[jobs_dataset.xlsx]Pivot Table!PivotTable14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Multi-Factor Risk</a:t>
            </a:r>
          </a:p>
        </c:rich>
      </c:tx>
      <c:layout>
        <c:manualLayout>
          <c:xMode val="edge"/>
          <c:yMode val="edge"/>
          <c:x val="0.4285899279828051"/>
          <c:y val="3.6253707703013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Table'!$B$29:$B$30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F7-4EA6-BD3F-A65A01C34F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F7-4EA6-BD3F-A65A01C34F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F7-4EA6-BD3F-A65A01C34F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F7-4EA6-BD3F-A65A01C34F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F7-4EA6-BD3F-A65A01C34F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9F7-4EA6-BD3F-A65A01C34F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9F7-4EA6-BD3F-A65A01C34F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9F7-4EA6-BD3F-A65A01C34F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9F7-4EA6-BD3F-A65A01C34F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9F7-4EA6-BD3F-A65A01C34F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9F7-4EA6-BD3F-A65A01C34F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9F7-4EA6-BD3F-A65A01C34F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9F7-4EA6-BD3F-A65A01C34F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9F7-4EA6-BD3F-A65A01C34FC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9F7-4EA6-BD3F-A65A01C34F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Table'!$A$31:$A$46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Table'!$B$31:$B$46</c:f>
              <c:numCache>
                <c:formatCode>General</c:formatCode>
                <c:ptCount val="15"/>
                <c:pt idx="1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7-4EA6-BD3F-A65A01C34FCF}"/>
            </c:ext>
          </c:extLst>
        </c:ser>
        <c:ser>
          <c:idx val="1"/>
          <c:order val="1"/>
          <c:tx>
            <c:strRef>
              <c:f>'Pivot Table'!$C$29:$C$30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Table'!$A$31:$A$46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Table'!$C$31:$C$46</c:f>
              <c:numCache>
                <c:formatCode>General</c:formatCode>
                <c:ptCount val="15"/>
                <c:pt idx="0">
                  <c:v>14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C359-4E26-891D-3BA21FBE2248}"/>
            </c:ext>
          </c:extLst>
        </c:ser>
        <c:ser>
          <c:idx val="2"/>
          <c:order val="2"/>
          <c:tx>
            <c:strRef>
              <c:f>'Pivot Table'!$D$29:$D$30</c:f>
              <c:strCache>
                <c:ptCount val="1"/>
                <c:pt idx="0">
                  <c:v>Medium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Table'!$A$31:$A$46</c:f>
              <c:strCache>
                <c:ptCount val="15"/>
                <c:pt idx="0">
                  <c:v>AI</c:v>
                </c:pt>
                <c:pt idx="1">
                  <c:v>Blockchain</c:v>
                </c:pt>
                <c:pt idx="2">
                  <c:v>Cloud Computing</c:v>
                </c:pt>
                <c:pt idx="3">
                  <c:v>Communication</c:v>
                </c:pt>
                <c:pt idx="4">
                  <c:v>Customer Engagement</c:v>
                </c:pt>
                <c:pt idx="5">
                  <c:v>Cybersecurity</c:v>
                </c:pt>
                <c:pt idx="6">
                  <c:v>Data Analysis</c:v>
                </c:pt>
                <c:pt idx="7">
                  <c:v>Digital Marketing</c:v>
                </c:pt>
                <c:pt idx="8">
                  <c:v>Large Language Models</c:v>
                </c:pt>
                <c:pt idx="9">
                  <c:v>Leadership</c:v>
                </c:pt>
                <c:pt idx="10">
                  <c:v>Machine Learning</c:v>
                </c:pt>
                <c:pt idx="11">
                  <c:v>Problem Solving</c:v>
                </c:pt>
                <c:pt idx="12">
                  <c:v>Statistical Data Analysis</c:v>
                </c:pt>
                <c:pt idx="13">
                  <c:v>Strategic Thinking</c:v>
                </c:pt>
                <c:pt idx="14">
                  <c:v>Sustainability Green Skills</c:v>
                </c:pt>
              </c:strCache>
            </c:strRef>
          </c:cat>
          <c:val>
            <c:numRef>
              <c:f>'Pivot Table'!$D$31:$D$46</c:f>
              <c:numCache>
                <c:formatCode>General</c:formatCode>
                <c:ptCount val="15"/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2</c:v>
                </c:pt>
                <c:pt idx="11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C359-4E26-891D-3BA21FBE22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27710</xdr:colOff>
      <xdr:row>62</xdr:row>
      <xdr:rowOff>44780</xdr:rowOff>
    </xdr:from>
    <xdr:to>
      <xdr:col>25</xdr:col>
      <xdr:colOff>580160</xdr:colOff>
      <xdr:row>87</xdr:row>
      <xdr:rowOff>173182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5E3E0-7F99-4AE7-BA19-95DC72FFC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21218</xdr:rowOff>
    </xdr:from>
    <xdr:to>
      <xdr:col>25</xdr:col>
      <xdr:colOff>571500</xdr:colOff>
      <xdr:row>62</xdr:row>
      <xdr:rowOff>89065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1EDAA-5230-4ED9-9779-B7DC4F644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13856</xdr:colOff>
      <xdr:row>87</xdr:row>
      <xdr:rowOff>166478</xdr:rowOff>
    </xdr:from>
    <xdr:to>
      <xdr:col>25</xdr:col>
      <xdr:colOff>547256</xdr:colOff>
      <xdr:row>129</xdr:row>
      <xdr:rowOff>8311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62F8B-0972-4F8E-85DC-27E43F8A2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25</xdr:col>
      <xdr:colOff>544287</xdr:colOff>
      <xdr:row>4</xdr:row>
      <xdr:rowOff>54428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F89F96-6B62-216B-EFE8-541B48277800}"/>
            </a:ext>
          </a:extLst>
        </xdr:cNvPr>
        <xdr:cNvSpPr txBox="1"/>
      </xdr:nvSpPr>
      <xdr:spPr>
        <a:xfrm>
          <a:off x="0" y="0"/>
          <a:ext cx="15784287" cy="794657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Dynamic Job Market Dashboard – Skills, Salary, Trends &amp; Risk Visualization</a:t>
          </a:r>
          <a:endParaRPr lang="en-IN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4</xdr:row>
      <xdr:rowOff>53340</xdr:rowOff>
    </xdr:from>
    <xdr:to>
      <xdr:col>25</xdr:col>
      <xdr:colOff>544286</xdr:colOff>
      <xdr:row>33</xdr:row>
      <xdr:rowOff>137160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7DED1AC-71C7-4249-88D3-1954929BC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hu Denzil Deve" refreshedDate="45967.478082986112" createdVersion="8" refreshedVersion="8" minRefreshableVersion="3" recordCount="100" xr:uid="{E34E922F-6C7D-4874-9A44-FB93FF10B40D}">
  <cacheSource type="worksheet">
    <worksheetSource ref="A1:I101" sheet="jobs_dataset"/>
  </cacheSource>
  <cacheFields count="9">
    <cacheField name="Job ID" numFmtId="1">
      <sharedItems containsSemiMixedTypes="0" containsString="0" containsNumber="1" containsInteger="1" minValue="1" maxValue="100"/>
    </cacheField>
    <cacheField name="Skill" numFmtId="49">
      <sharedItems count="15">
        <s v="Strategic Thinking"/>
        <s v="Cloud Computing"/>
        <s v="Sustainability Green Skills"/>
        <s v="Data Analysis"/>
        <s v="Problem Solving"/>
        <s v="Large Language Models"/>
        <s v="AI"/>
        <s v="Cybersecurity"/>
        <s v="Digital Marketing"/>
        <s v="Blockchain"/>
        <s v="Communication"/>
        <s v="Machine Learning"/>
        <s v="Customer Engagement"/>
        <s v="Statistical Data Analysis"/>
        <s v="Leadership"/>
      </sharedItems>
    </cacheField>
    <cacheField name="Job Title" numFmtId="49">
      <sharedItems count="15">
        <s v="Data Analyst"/>
        <s v="Blockchain Developer"/>
        <s v="Business Analyst"/>
        <s v="ML Specialist"/>
        <s v="Statistician"/>
        <s v="Security Analyst"/>
        <s v="Cloud Architect"/>
        <s v="Sustainability Officer"/>
        <s v="Team Lead"/>
        <s v="Process Consultant"/>
        <s v="AI Engineer"/>
        <s v="Customer Success Manager"/>
        <s v="Digital Strategist"/>
        <s v="Communication Lead"/>
        <s v="LLM Specialist"/>
      </sharedItems>
    </cacheField>
    <cacheField name="City" numFmtId="49">
      <sharedItems count="8">
        <s v="Chennai"/>
        <s v="Hyderabad"/>
        <s v="Ahmedabad"/>
        <s v="Delhi"/>
        <s v="Bangalore"/>
        <s v="Pune"/>
        <s v="Kolkata"/>
        <s v="Mumbai"/>
      </sharedItems>
    </cacheField>
    <cacheField name="Salary(LPA)" numFmtId="49">
      <sharedItems containsSemiMixedTypes="0" containsString="0" containsNumber="1" containsInteger="1" minValue="5" maxValue="42" count="36">
        <n v="9"/>
        <n v="26"/>
        <n v="18"/>
        <n v="10"/>
        <n v="5"/>
        <n v="19"/>
        <n v="42"/>
        <n v="16"/>
        <n v="32"/>
        <n v="29"/>
        <n v="30"/>
        <n v="25"/>
        <n v="20"/>
        <n v="13"/>
        <n v="35"/>
        <n v="28"/>
        <n v="38"/>
        <n v="11"/>
        <n v="6"/>
        <n v="24"/>
        <n v="7"/>
        <n v="12"/>
        <n v="27"/>
        <n v="15"/>
        <n v="21"/>
        <n v="22"/>
        <n v="17"/>
        <n v="31"/>
        <n v="23"/>
        <n v="36"/>
        <n v="39"/>
        <n v="41"/>
        <n v="8"/>
        <n v="14"/>
        <n v="40"/>
        <n v="34"/>
      </sharedItems>
    </cacheField>
    <cacheField name="Industry" numFmtId="164">
      <sharedItems count="12">
        <s v="Banking"/>
        <s v="Energy"/>
        <s v="IT"/>
        <s v="Business Services"/>
        <s v="Environment"/>
        <s v="Healthcare"/>
        <s v="General"/>
        <s v="Supply"/>
        <s v="Retail"/>
        <s v="BFSI"/>
        <s v="Technology"/>
        <s v="Education"/>
      </sharedItems>
    </cacheField>
    <cacheField name="Trend Status" numFmtId="49">
      <sharedItems count="7">
        <s v="Essential"/>
        <s v="Rising"/>
        <s v="Growing"/>
        <s v="Surging"/>
        <s v="Emerging"/>
        <s v="Critical"/>
        <s v="Needed"/>
      </sharedItems>
    </cacheField>
    <cacheField name="Layoff Possibility" numFmtId="0">
      <sharedItems count="3">
        <s v="Low"/>
        <s v="Medium"/>
        <s v="High"/>
      </sharedItems>
    </cacheField>
    <cacheField name="Job End Year" numFmtId="0">
      <sharedItems containsSemiMixedTypes="0" containsString="0" containsNumber="1" containsInteger="1" minValue="2027" maxValue="2030" count="3">
        <n v="2030"/>
        <n v="2028"/>
        <n v="2027"/>
      </sharedItems>
    </cacheField>
  </cacheFields>
  <extLst>
    <ext xmlns:x14="http://schemas.microsoft.com/office/spreadsheetml/2009/9/main" uri="{725AE2AE-9491-48be-B2B4-4EB974FC3084}">
      <x14:pivotCacheDefinition pivotCacheId="15742455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x v="0"/>
    <x v="0"/>
    <x v="0"/>
    <x v="0"/>
  </r>
  <r>
    <n v="2"/>
    <x v="1"/>
    <x v="1"/>
    <x v="1"/>
    <x v="1"/>
    <x v="1"/>
    <x v="1"/>
    <x v="0"/>
    <x v="1"/>
  </r>
  <r>
    <n v="3"/>
    <x v="2"/>
    <x v="2"/>
    <x v="2"/>
    <x v="2"/>
    <x v="2"/>
    <x v="2"/>
    <x v="0"/>
    <x v="1"/>
  </r>
  <r>
    <n v="4"/>
    <x v="3"/>
    <x v="3"/>
    <x v="3"/>
    <x v="3"/>
    <x v="3"/>
    <x v="3"/>
    <x v="0"/>
    <x v="0"/>
  </r>
  <r>
    <n v="5"/>
    <x v="4"/>
    <x v="4"/>
    <x v="3"/>
    <x v="4"/>
    <x v="4"/>
    <x v="0"/>
    <x v="1"/>
    <x v="0"/>
  </r>
  <r>
    <n v="6"/>
    <x v="0"/>
    <x v="4"/>
    <x v="2"/>
    <x v="5"/>
    <x v="0"/>
    <x v="0"/>
    <x v="0"/>
    <x v="0"/>
  </r>
  <r>
    <n v="7"/>
    <x v="5"/>
    <x v="5"/>
    <x v="4"/>
    <x v="6"/>
    <x v="5"/>
    <x v="4"/>
    <x v="0"/>
    <x v="2"/>
  </r>
  <r>
    <n v="8"/>
    <x v="2"/>
    <x v="6"/>
    <x v="0"/>
    <x v="7"/>
    <x v="5"/>
    <x v="2"/>
    <x v="0"/>
    <x v="1"/>
  </r>
  <r>
    <n v="9"/>
    <x v="1"/>
    <x v="2"/>
    <x v="1"/>
    <x v="8"/>
    <x v="6"/>
    <x v="1"/>
    <x v="0"/>
    <x v="1"/>
  </r>
  <r>
    <n v="10"/>
    <x v="6"/>
    <x v="7"/>
    <x v="5"/>
    <x v="9"/>
    <x v="7"/>
    <x v="3"/>
    <x v="0"/>
    <x v="0"/>
  </r>
  <r>
    <n v="11"/>
    <x v="7"/>
    <x v="1"/>
    <x v="6"/>
    <x v="7"/>
    <x v="3"/>
    <x v="1"/>
    <x v="0"/>
    <x v="1"/>
  </r>
  <r>
    <n v="12"/>
    <x v="6"/>
    <x v="2"/>
    <x v="0"/>
    <x v="10"/>
    <x v="1"/>
    <x v="3"/>
    <x v="0"/>
    <x v="0"/>
  </r>
  <r>
    <n v="13"/>
    <x v="4"/>
    <x v="6"/>
    <x v="3"/>
    <x v="2"/>
    <x v="4"/>
    <x v="0"/>
    <x v="1"/>
    <x v="0"/>
  </r>
  <r>
    <n v="14"/>
    <x v="6"/>
    <x v="8"/>
    <x v="3"/>
    <x v="5"/>
    <x v="8"/>
    <x v="3"/>
    <x v="0"/>
    <x v="0"/>
  </r>
  <r>
    <n v="15"/>
    <x v="6"/>
    <x v="7"/>
    <x v="1"/>
    <x v="11"/>
    <x v="6"/>
    <x v="3"/>
    <x v="0"/>
    <x v="0"/>
  </r>
  <r>
    <n v="16"/>
    <x v="7"/>
    <x v="8"/>
    <x v="5"/>
    <x v="9"/>
    <x v="5"/>
    <x v="1"/>
    <x v="0"/>
    <x v="1"/>
  </r>
  <r>
    <n v="17"/>
    <x v="8"/>
    <x v="3"/>
    <x v="0"/>
    <x v="3"/>
    <x v="4"/>
    <x v="1"/>
    <x v="2"/>
    <x v="1"/>
  </r>
  <r>
    <n v="18"/>
    <x v="9"/>
    <x v="9"/>
    <x v="7"/>
    <x v="12"/>
    <x v="3"/>
    <x v="4"/>
    <x v="1"/>
    <x v="2"/>
  </r>
  <r>
    <n v="19"/>
    <x v="2"/>
    <x v="10"/>
    <x v="6"/>
    <x v="13"/>
    <x v="6"/>
    <x v="2"/>
    <x v="1"/>
    <x v="1"/>
  </r>
  <r>
    <n v="20"/>
    <x v="7"/>
    <x v="1"/>
    <x v="3"/>
    <x v="14"/>
    <x v="1"/>
    <x v="1"/>
    <x v="0"/>
    <x v="1"/>
  </r>
  <r>
    <n v="21"/>
    <x v="8"/>
    <x v="3"/>
    <x v="4"/>
    <x v="4"/>
    <x v="9"/>
    <x v="1"/>
    <x v="0"/>
    <x v="1"/>
  </r>
  <r>
    <n v="22"/>
    <x v="10"/>
    <x v="2"/>
    <x v="3"/>
    <x v="0"/>
    <x v="7"/>
    <x v="5"/>
    <x v="1"/>
    <x v="0"/>
  </r>
  <r>
    <n v="23"/>
    <x v="9"/>
    <x v="3"/>
    <x v="6"/>
    <x v="15"/>
    <x v="6"/>
    <x v="4"/>
    <x v="2"/>
    <x v="2"/>
  </r>
  <r>
    <n v="24"/>
    <x v="9"/>
    <x v="10"/>
    <x v="0"/>
    <x v="8"/>
    <x v="5"/>
    <x v="4"/>
    <x v="1"/>
    <x v="2"/>
  </r>
  <r>
    <n v="25"/>
    <x v="1"/>
    <x v="1"/>
    <x v="2"/>
    <x v="10"/>
    <x v="7"/>
    <x v="1"/>
    <x v="1"/>
    <x v="1"/>
  </r>
  <r>
    <n v="26"/>
    <x v="10"/>
    <x v="3"/>
    <x v="7"/>
    <x v="3"/>
    <x v="3"/>
    <x v="5"/>
    <x v="0"/>
    <x v="0"/>
  </r>
  <r>
    <n v="27"/>
    <x v="5"/>
    <x v="11"/>
    <x v="4"/>
    <x v="1"/>
    <x v="10"/>
    <x v="4"/>
    <x v="0"/>
    <x v="2"/>
  </r>
  <r>
    <n v="28"/>
    <x v="11"/>
    <x v="10"/>
    <x v="2"/>
    <x v="16"/>
    <x v="7"/>
    <x v="3"/>
    <x v="0"/>
    <x v="0"/>
  </r>
  <r>
    <n v="29"/>
    <x v="6"/>
    <x v="12"/>
    <x v="6"/>
    <x v="10"/>
    <x v="3"/>
    <x v="3"/>
    <x v="0"/>
    <x v="0"/>
  </r>
  <r>
    <n v="30"/>
    <x v="7"/>
    <x v="7"/>
    <x v="4"/>
    <x v="8"/>
    <x v="1"/>
    <x v="1"/>
    <x v="0"/>
    <x v="1"/>
  </r>
  <r>
    <n v="31"/>
    <x v="2"/>
    <x v="8"/>
    <x v="0"/>
    <x v="17"/>
    <x v="1"/>
    <x v="2"/>
    <x v="0"/>
    <x v="1"/>
  </r>
  <r>
    <n v="32"/>
    <x v="8"/>
    <x v="5"/>
    <x v="2"/>
    <x v="18"/>
    <x v="5"/>
    <x v="1"/>
    <x v="1"/>
    <x v="1"/>
  </r>
  <r>
    <n v="33"/>
    <x v="5"/>
    <x v="1"/>
    <x v="0"/>
    <x v="19"/>
    <x v="3"/>
    <x v="4"/>
    <x v="1"/>
    <x v="2"/>
  </r>
  <r>
    <n v="34"/>
    <x v="12"/>
    <x v="4"/>
    <x v="1"/>
    <x v="20"/>
    <x v="1"/>
    <x v="2"/>
    <x v="0"/>
    <x v="1"/>
  </r>
  <r>
    <n v="35"/>
    <x v="7"/>
    <x v="4"/>
    <x v="3"/>
    <x v="14"/>
    <x v="5"/>
    <x v="1"/>
    <x v="0"/>
    <x v="1"/>
  </r>
  <r>
    <n v="36"/>
    <x v="8"/>
    <x v="4"/>
    <x v="4"/>
    <x v="20"/>
    <x v="7"/>
    <x v="1"/>
    <x v="1"/>
    <x v="1"/>
  </r>
  <r>
    <n v="37"/>
    <x v="8"/>
    <x v="0"/>
    <x v="1"/>
    <x v="21"/>
    <x v="9"/>
    <x v="1"/>
    <x v="0"/>
    <x v="1"/>
  </r>
  <r>
    <n v="38"/>
    <x v="9"/>
    <x v="3"/>
    <x v="4"/>
    <x v="22"/>
    <x v="0"/>
    <x v="4"/>
    <x v="0"/>
    <x v="2"/>
  </r>
  <r>
    <n v="39"/>
    <x v="9"/>
    <x v="2"/>
    <x v="6"/>
    <x v="12"/>
    <x v="10"/>
    <x v="4"/>
    <x v="2"/>
    <x v="2"/>
  </r>
  <r>
    <n v="40"/>
    <x v="12"/>
    <x v="11"/>
    <x v="7"/>
    <x v="13"/>
    <x v="5"/>
    <x v="2"/>
    <x v="0"/>
    <x v="1"/>
  </r>
  <r>
    <n v="41"/>
    <x v="0"/>
    <x v="4"/>
    <x v="7"/>
    <x v="23"/>
    <x v="8"/>
    <x v="0"/>
    <x v="0"/>
    <x v="0"/>
  </r>
  <r>
    <n v="42"/>
    <x v="13"/>
    <x v="3"/>
    <x v="3"/>
    <x v="24"/>
    <x v="4"/>
    <x v="0"/>
    <x v="0"/>
    <x v="0"/>
  </r>
  <r>
    <n v="43"/>
    <x v="7"/>
    <x v="8"/>
    <x v="5"/>
    <x v="22"/>
    <x v="11"/>
    <x v="1"/>
    <x v="0"/>
    <x v="1"/>
  </r>
  <r>
    <n v="44"/>
    <x v="9"/>
    <x v="2"/>
    <x v="3"/>
    <x v="8"/>
    <x v="0"/>
    <x v="4"/>
    <x v="1"/>
    <x v="2"/>
  </r>
  <r>
    <n v="45"/>
    <x v="6"/>
    <x v="0"/>
    <x v="3"/>
    <x v="15"/>
    <x v="7"/>
    <x v="3"/>
    <x v="0"/>
    <x v="0"/>
  </r>
  <r>
    <n v="46"/>
    <x v="1"/>
    <x v="2"/>
    <x v="4"/>
    <x v="25"/>
    <x v="0"/>
    <x v="1"/>
    <x v="0"/>
    <x v="1"/>
  </r>
  <r>
    <n v="47"/>
    <x v="6"/>
    <x v="7"/>
    <x v="5"/>
    <x v="5"/>
    <x v="10"/>
    <x v="3"/>
    <x v="0"/>
    <x v="0"/>
  </r>
  <r>
    <n v="48"/>
    <x v="13"/>
    <x v="5"/>
    <x v="6"/>
    <x v="23"/>
    <x v="0"/>
    <x v="0"/>
    <x v="0"/>
    <x v="0"/>
  </r>
  <r>
    <n v="49"/>
    <x v="13"/>
    <x v="1"/>
    <x v="6"/>
    <x v="21"/>
    <x v="0"/>
    <x v="0"/>
    <x v="0"/>
    <x v="0"/>
  </r>
  <r>
    <n v="50"/>
    <x v="12"/>
    <x v="11"/>
    <x v="2"/>
    <x v="21"/>
    <x v="0"/>
    <x v="2"/>
    <x v="0"/>
    <x v="1"/>
  </r>
  <r>
    <n v="51"/>
    <x v="6"/>
    <x v="8"/>
    <x v="2"/>
    <x v="24"/>
    <x v="9"/>
    <x v="3"/>
    <x v="0"/>
    <x v="0"/>
  </r>
  <r>
    <n v="52"/>
    <x v="10"/>
    <x v="13"/>
    <x v="4"/>
    <x v="17"/>
    <x v="1"/>
    <x v="5"/>
    <x v="0"/>
    <x v="0"/>
  </r>
  <r>
    <n v="53"/>
    <x v="0"/>
    <x v="2"/>
    <x v="4"/>
    <x v="2"/>
    <x v="6"/>
    <x v="0"/>
    <x v="0"/>
    <x v="0"/>
  </r>
  <r>
    <n v="54"/>
    <x v="2"/>
    <x v="11"/>
    <x v="1"/>
    <x v="23"/>
    <x v="0"/>
    <x v="2"/>
    <x v="0"/>
    <x v="1"/>
  </r>
  <r>
    <n v="55"/>
    <x v="1"/>
    <x v="4"/>
    <x v="6"/>
    <x v="15"/>
    <x v="5"/>
    <x v="1"/>
    <x v="0"/>
    <x v="1"/>
  </r>
  <r>
    <n v="56"/>
    <x v="10"/>
    <x v="5"/>
    <x v="6"/>
    <x v="20"/>
    <x v="0"/>
    <x v="5"/>
    <x v="0"/>
    <x v="0"/>
  </r>
  <r>
    <n v="57"/>
    <x v="14"/>
    <x v="13"/>
    <x v="1"/>
    <x v="26"/>
    <x v="2"/>
    <x v="6"/>
    <x v="0"/>
    <x v="1"/>
  </r>
  <r>
    <n v="58"/>
    <x v="0"/>
    <x v="7"/>
    <x v="4"/>
    <x v="7"/>
    <x v="10"/>
    <x v="0"/>
    <x v="0"/>
    <x v="0"/>
  </r>
  <r>
    <n v="59"/>
    <x v="9"/>
    <x v="10"/>
    <x v="2"/>
    <x v="11"/>
    <x v="11"/>
    <x v="4"/>
    <x v="2"/>
    <x v="2"/>
  </r>
  <r>
    <n v="60"/>
    <x v="5"/>
    <x v="7"/>
    <x v="2"/>
    <x v="10"/>
    <x v="2"/>
    <x v="4"/>
    <x v="0"/>
    <x v="2"/>
  </r>
  <r>
    <n v="61"/>
    <x v="11"/>
    <x v="0"/>
    <x v="2"/>
    <x v="10"/>
    <x v="8"/>
    <x v="3"/>
    <x v="0"/>
    <x v="0"/>
  </r>
  <r>
    <n v="62"/>
    <x v="9"/>
    <x v="5"/>
    <x v="2"/>
    <x v="8"/>
    <x v="4"/>
    <x v="4"/>
    <x v="2"/>
    <x v="2"/>
  </r>
  <r>
    <n v="63"/>
    <x v="2"/>
    <x v="4"/>
    <x v="6"/>
    <x v="25"/>
    <x v="5"/>
    <x v="2"/>
    <x v="0"/>
    <x v="1"/>
  </r>
  <r>
    <n v="64"/>
    <x v="1"/>
    <x v="3"/>
    <x v="4"/>
    <x v="27"/>
    <x v="7"/>
    <x v="1"/>
    <x v="0"/>
    <x v="1"/>
  </r>
  <r>
    <n v="65"/>
    <x v="2"/>
    <x v="0"/>
    <x v="5"/>
    <x v="2"/>
    <x v="2"/>
    <x v="2"/>
    <x v="0"/>
    <x v="1"/>
  </r>
  <r>
    <n v="66"/>
    <x v="3"/>
    <x v="4"/>
    <x v="7"/>
    <x v="28"/>
    <x v="2"/>
    <x v="3"/>
    <x v="0"/>
    <x v="0"/>
  </r>
  <r>
    <n v="67"/>
    <x v="13"/>
    <x v="7"/>
    <x v="7"/>
    <x v="3"/>
    <x v="10"/>
    <x v="0"/>
    <x v="0"/>
    <x v="0"/>
  </r>
  <r>
    <n v="68"/>
    <x v="4"/>
    <x v="8"/>
    <x v="3"/>
    <x v="18"/>
    <x v="6"/>
    <x v="0"/>
    <x v="0"/>
    <x v="0"/>
  </r>
  <r>
    <n v="69"/>
    <x v="6"/>
    <x v="3"/>
    <x v="4"/>
    <x v="29"/>
    <x v="7"/>
    <x v="3"/>
    <x v="0"/>
    <x v="0"/>
  </r>
  <r>
    <n v="70"/>
    <x v="6"/>
    <x v="8"/>
    <x v="5"/>
    <x v="27"/>
    <x v="8"/>
    <x v="3"/>
    <x v="0"/>
    <x v="0"/>
  </r>
  <r>
    <n v="71"/>
    <x v="1"/>
    <x v="3"/>
    <x v="0"/>
    <x v="8"/>
    <x v="6"/>
    <x v="1"/>
    <x v="0"/>
    <x v="1"/>
  </r>
  <r>
    <n v="72"/>
    <x v="11"/>
    <x v="8"/>
    <x v="0"/>
    <x v="30"/>
    <x v="11"/>
    <x v="3"/>
    <x v="0"/>
    <x v="0"/>
  </r>
  <r>
    <n v="73"/>
    <x v="8"/>
    <x v="0"/>
    <x v="6"/>
    <x v="18"/>
    <x v="7"/>
    <x v="1"/>
    <x v="2"/>
    <x v="1"/>
  </r>
  <r>
    <n v="74"/>
    <x v="4"/>
    <x v="2"/>
    <x v="3"/>
    <x v="18"/>
    <x v="3"/>
    <x v="0"/>
    <x v="0"/>
    <x v="0"/>
  </r>
  <r>
    <n v="75"/>
    <x v="7"/>
    <x v="14"/>
    <x v="5"/>
    <x v="5"/>
    <x v="10"/>
    <x v="1"/>
    <x v="1"/>
    <x v="1"/>
  </r>
  <r>
    <n v="76"/>
    <x v="9"/>
    <x v="6"/>
    <x v="0"/>
    <x v="11"/>
    <x v="5"/>
    <x v="4"/>
    <x v="1"/>
    <x v="2"/>
  </r>
  <r>
    <n v="77"/>
    <x v="5"/>
    <x v="1"/>
    <x v="0"/>
    <x v="31"/>
    <x v="7"/>
    <x v="4"/>
    <x v="2"/>
    <x v="2"/>
  </r>
  <r>
    <n v="78"/>
    <x v="12"/>
    <x v="0"/>
    <x v="0"/>
    <x v="13"/>
    <x v="1"/>
    <x v="2"/>
    <x v="1"/>
    <x v="1"/>
  </r>
  <r>
    <n v="79"/>
    <x v="6"/>
    <x v="5"/>
    <x v="1"/>
    <x v="25"/>
    <x v="10"/>
    <x v="3"/>
    <x v="0"/>
    <x v="0"/>
  </r>
  <r>
    <n v="80"/>
    <x v="2"/>
    <x v="10"/>
    <x v="0"/>
    <x v="2"/>
    <x v="8"/>
    <x v="2"/>
    <x v="1"/>
    <x v="1"/>
  </r>
  <r>
    <n v="81"/>
    <x v="4"/>
    <x v="1"/>
    <x v="5"/>
    <x v="32"/>
    <x v="0"/>
    <x v="0"/>
    <x v="0"/>
    <x v="0"/>
  </r>
  <r>
    <n v="82"/>
    <x v="0"/>
    <x v="7"/>
    <x v="0"/>
    <x v="2"/>
    <x v="3"/>
    <x v="0"/>
    <x v="0"/>
    <x v="0"/>
  </r>
  <r>
    <n v="83"/>
    <x v="5"/>
    <x v="14"/>
    <x v="4"/>
    <x v="8"/>
    <x v="10"/>
    <x v="4"/>
    <x v="1"/>
    <x v="2"/>
  </r>
  <r>
    <n v="84"/>
    <x v="0"/>
    <x v="7"/>
    <x v="0"/>
    <x v="33"/>
    <x v="2"/>
    <x v="0"/>
    <x v="0"/>
    <x v="0"/>
  </r>
  <r>
    <n v="85"/>
    <x v="3"/>
    <x v="11"/>
    <x v="7"/>
    <x v="2"/>
    <x v="1"/>
    <x v="3"/>
    <x v="0"/>
    <x v="0"/>
  </r>
  <r>
    <n v="86"/>
    <x v="7"/>
    <x v="1"/>
    <x v="6"/>
    <x v="12"/>
    <x v="3"/>
    <x v="1"/>
    <x v="0"/>
    <x v="1"/>
  </r>
  <r>
    <n v="87"/>
    <x v="2"/>
    <x v="4"/>
    <x v="4"/>
    <x v="7"/>
    <x v="10"/>
    <x v="2"/>
    <x v="1"/>
    <x v="1"/>
  </r>
  <r>
    <n v="88"/>
    <x v="6"/>
    <x v="14"/>
    <x v="7"/>
    <x v="34"/>
    <x v="3"/>
    <x v="3"/>
    <x v="0"/>
    <x v="0"/>
  </r>
  <r>
    <n v="89"/>
    <x v="3"/>
    <x v="9"/>
    <x v="7"/>
    <x v="5"/>
    <x v="6"/>
    <x v="3"/>
    <x v="0"/>
    <x v="0"/>
  </r>
  <r>
    <n v="90"/>
    <x v="11"/>
    <x v="5"/>
    <x v="5"/>
    <x v="5"/>
    <x v="2"/>
    <x v="3"/>
    <x v="0"/>
    <x v="0"/>
  </r>
  <r>
    <n v="91"/>
    <x v="9"/>
    <x v="3"/>
    <x v="3"/>
    <x v="9"/>
    <x v="1"/>
    <x v="4"/>
    <x v="2"/>
    <x v="2"/>
  </r>
  <r>
    <n v="92"/>
    <x v="6"/>
    <x v="11"/>
    <x v="2"/>
    <x v="9"/>
    <x v="7"/>
    <x v="3"/>
    <x v="0"/>
    <x v="0"/>
  </r>
  <r>
    <n v="93"/>
    <x v="2"/>
    <x v="14"/>
    <x v="3"/>
    <x v="21"/>
    <x v="5"/>
    <x v="2"/>
    <x v="0"/>
    <x v="1"/>
  </r>
  <r>
    <n v="94"/>
    <x v="12"/>
    <x v="14"/>
    <x v="2"/>
    <x v="20"/>
    <x v="2"/>
    <x v="2"/>
    <x v="0"/>
    <x v="1"/>
  </r>
  <r>
    <n v="95"/>
    <x v="11"/>
    <x v="11"/>
    <x v="2"/>
    <x v="15"/>
    <x v="1"/>
    <x v="3"/>
    <x v="0"/>
    <x v="0"/>
  </r>
  <r>
    <n v="96"/>
    <x v="14"/>
    <x v="5"/>
    <x v="7"/>
    <x v="25"/>
    <x v="4"/>
    <x v="6"/>
    <x v="0"/>
    <x v="1"/>
  </r>
  <r>
    <n v="97"/>
    <x v="6"/>
    <x v="7"/>
    <x v="4"/>
    <x v="10"/>
    <x v="11"/>
    <x v="3"/>
    <x v="0"/>
    <x v="0"/>
  </r>
  <r>
    <n v="98"/>
    <x v="1"/>
    <x v="7"/>
    <x v="6"/>
    <x v="15"/>
    <x v="9"/>
    <x v="1"/>
    <x v="0"/>
    <x v="1"/>
  </r>
  <r>
    <n v="99"/>
    <x v="7"/>
    <x v="3"/>
    <x v="4"/>
    <x v="25"/>
    <x v="1"/>
    <x v="1"/>
    <x v="0"/>
    <x v="1"/>
  </r>
  <r>
    <n v="100"/>
    <x v="1"/>
    <x v="6"/>
    <x v="0"/>
    <x v="35"/>
    <x v="10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73B68-DC04-4E1F-8B6D-643007E619C6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0:N97" firstHeaderRow="1" firstDataRow="2" firstDataCol="1"/>
  <pivotFields count="9">
    <pivotField numFmtId="1" showAll="0"/>
    <pivotField showAll="0"/>
    <pivotField axis="axisRow" showAll="0">
      <items count="16">
        <item x="10"/>
        <item x="1"/>
        <item x="2"/>
        <item x="6"/>
        <item x="13"/>
        <item x="11"/>
        <item x="0"/>
        <item x="12"/>
        <item x="14"/>
        <item x="3"/>
        <item x="9"/>
        <item x="5"/>
        <item x="4"/>
        <item x="7"/>
        <item x="8"/>
        <item t="default"/>
      </items>
    </pivotField>
    <pivotField showAll="0"/>
    <pivotField dataField="1" numFmtId="49" showAll="0"/>
    <pivotField axis="axisCol" showAll="0">
      <items count="13">
        <item x="0"/>
        <item x="9"/>
        <item x="3"/>
        <item x="11"/>
        <item x="1"/>
        <item x="4"/>
        <item x="6"/>
        <item x="5"/>
        <item x="2"/>
        <item x="8"/>
        <item x="7"/>
        <item x="10"/>
        <item t="default"/>
      </items>
    </pivotField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Salary(LPA)" fld="4" subtotal="average" baseField="0" baseItem="0" numFmtId="49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Col="1" outline="0" fieldPosition="0"/>
    </format>
  </formats>
  <chartFormats count="12"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849C9-2E81-40A9-980E-85E786825F4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5:N74" firstHeaderRow="1" firstDataRow="2" firstDataCol="1" rowPageCount="1" colPageCount="1"/>
  <pivotFields count="9">
    <pivotField dataField="1" numFmtId="1" showAll="0"/>
    <pivotField showAll="0"/>
    <pivotField showAll="0"/>
    <pivotField showAll="0"/>
    <pivotField numFmtId="49" showAll="0"/>
    <pivotField axis="axisCol" showAll="0">
      <items count="13">
        <item x="0"/>
        <item x="9"/>
        <item x="3"/>
        <item x="11"/>
        <item x="1"/>
        <item x="4"/>
        <item x="6"/>
        <item x="5"/>
        <item x="2"/>
        <item x="8"/>
        <item x="7"/>
        <item x="10"/>
        <item t="default"/>
      </items>
    </pivotField>
    <pivotField axis="axisRow" showAll="0">
      <items count="8">
        <item x="5"/>
        <item x="4"/>
        <item x="0"/>
        <item x="2"/>
        <item x="6"/>
        <item x="1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7" hier="-1"/>
  </pageFields>
  <dataFields count="1">
    <dataField name="No of Employees" fld="0" subtotal="count" baseField="6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FCFA4-5944-4E72-94F4-9821739B657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I59" firstHeaderRow="1" firstDataRow="2" firstDataCol="1"/>
  <pivotFields count="9">
    <pivotField numFmtId="1" showAll="0"/>
    <pivotField dataField="1" showAll="0"/>
    <pivotField showAll="0"/>
    <pivotField showAll="0"/>
    <pivotField numFmtId="49" showAll="0"/>
    <pivotField showAll="0"/>
    <pivotField axis="axisCol" showAll="0">
      <items count="8">
        <item x="5"/>
        <item x="4"/>
        <item x="0"/>
        <item x="2"/>
        <item x="6"/>
        <item x="1"/>
        <item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kill" fld="1" subtotal="count" baseField="0" baseItem="0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97961-1A4E-4B33-9306-27D173EC057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9:E46" firstHeaderRow="1" firstDataRow="2" firstDataCol="1" rowPageCount="1" colPageCount="1"/>
  <pivotFields count="9">
    <pivotField dataField="1" numFmtId="1" showAll="0"/>
    <pivotField axis="axisRow" showAll="0">
      <items count="16">
        <item x="6"/>
        <item x="9"/>
        <item x="1"/>
        <item x="10"/>
        <item x="12"/>
        <item x="7"/>
        <item x="3"/>
        <item x="8"/>
        <item x="5"/>
        <item x="14"/>
        <item x="11"/>
        <item x="4"/>
        <item x="13"/>
        <item x="0"/>
        <item x="2"/>
        <item t="default"/>
      </items>
    </pivotField>
    <pivotField showAll="0"/>
    <pivotField showAll="0"/>
    <pivotField numFmtId="49" showAll="0"/>
    <pivotField showAll="0"/>
    <pivotField axis="axisPage" showAll="0">
      <items count="8">
        <item x="5"/>
        <item x="4"/>
        <item x="0"/>
        <item x="2"/>
        <item x="6"/>
        <item x="1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No of employees" fld="0" subtotal="count" baseField="1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7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Col="1" outline="0" fieldPosition="0"/>
    </format>
  </formats>
  <chartFormats count="20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0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0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0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0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0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3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3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3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3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3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3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3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3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3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3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1"/>
          </reference>
        </references>
      </pivotArea>
    </chartFormat>
    <chartFormat chart="3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1"/>
          </reference>
        </references>
      </pivotArea>
    </chartFormat>
    <chartFormat chart="3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1"/>
          </reference>
        </references>
      </pivotArea>
    </chartFormat>
    <chartFormat chart="3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1"/>
          </reference>
        </references>
      </pivotArea>
    </chartFormat>
    <chartFormat chart="3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1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3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3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3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2"/>
          </reference>
        </references>
      </pivotArea>
    </chartFormat>
    <chartFormat chart="3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3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2"/>
          </reference>
        </references>
      </pivotArea>
    </chartFormat>
    <chartFormat chart="3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  <chartFormat chart="3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2"/>
          </reference>
        </references>
      </pivotArea>
    </chartFormat>
    <chartFormat chart="3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2"/>
          </reference>
        </references>
      </pivotArea>
    </chartFormat>
    <chartFormat chart="3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2"/>
          </reference>
        </references>
      </pivotArea>
    </chartFormat>
    <chartFormat chart="3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2"/>
          </reference>
        </references>
      </pivotArea>
    </chartFormat>
    <chartFormat chart="3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2"/>
          </reference>
        </references>
      </pivotArea>
    </chartFormat>
    <chartFormat chart="3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2"/>
          </reference>
        </references>
      </pivotArea>
    </chartFormat>
    <chartFormat chart="3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2"/>
          </reference>
        </references>
      </pivotArea>
    </chartFormat>
    <chartFormat chart="3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7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0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0"/>
          </reference>
        </references>
      </pivotArea>
    </chartFormat>
    <chartFormat chart="7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0"/>
          </reference>
        </references>
      </pivotArea>
    </chartFormat>
    <chartFormat chart="7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0"/>
          </reference>
        </references>
      </pivotArea>
    </chartFormat>
    <chartFormat chart="7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0"/>
          </reference>
        </references>
      </pivotArea>
    </chartFormat>
    <chartFormat chart="7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7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7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7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7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7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1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1"/>
          </reference>
        </references>
      </pivotArea>
    </chartFormat>
    <chartFormat chart="7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1"/>
          </reference>
        </references>
      </pivotArea>
    </chartFormat>
    <chartFormat chart="7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1"/>
          </reference>
        </references>
      </pivotArea>
    </chartFormat>
    <chartFormat chart="7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1"/>
          </reference>
        </references>
      </pivotArea>
    </chartFormat>
    <chartFormat chart="7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7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7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7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2"/>
          </reference>
        </references>
      </pivotArea>
    </chartFormat>
    <chartFormat chart="7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7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2"/>
          </reference>
        </references>
      </pivotArea>
    </chartFormat>
    <chartFormat chart="7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  <chartFormat chart="7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2"/>
          </reference>
        </references>
      </pivotArea>
    </chartFormat>
    <chartFormat chart="7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2"/>
          </reference>
        </references>
      </pivotArea>
    </chartFormat>
    <chartFormat chart="7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2"/>
          </reference>
        </references>
      </pivotArea>
    </chartFormat>
    <chartFormat chart="7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2"/>
          </reference>
        </references>
      </pivotArea>
    </chartFormat>
    <chartFormat chart="7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2"/>
          </reference>
        </references>
      </pivotArea>
    </chartFormat>
    <chartFormat chart="7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2"/>
          </reference>
        </references>
      </pivotArea>
    </chartFormat>
    <chartFormat chart="7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2"/>
          </reference>
        </references>
      </pivotArea>
    </chartFormat>
    <chartFormat chart="7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1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0"/>
          </reference>
        </references>
      </pivotArea>
    </chartFormat>
    <chartFormat chart="1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0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0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0"/>
          </reference>
        </references>
      </pivotArea>
    </chartFormat>
    <chartFormat chart="1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1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1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1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1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1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10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2"/>
          </reference>
        </references>
      </pivotArea>
    </chartFormat>
    <chartFormat chart="10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2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2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2"/>
          </reference>
        </references>
      </pivotArea>
    </chartFormat>
    <chartFormat chart="10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2"/>
          </reference>
        </references>
      </pivotArea>
    </chartFormat>
    <chartFormat chart="10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2"/>
          </reference>
        </references>
      </pivotArea>
    </chartFormat>
    <chartFormat chart="10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2"/>
          </reference>
        </references>
      </pivotArea>
    </chartFormat>
    <chartFormat chart="10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2"/>
          </reference>
        </references>
      </pivotArea>
    </chartFormat>
    <chartFormat chart="10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2"/>
          </reference>
        </references>
      </pivotArea>
    </chartFormat>
    <chartFormat chart="10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2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11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11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11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11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11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11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11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11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11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11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0"/>
          </reference>
        </references>
      </pivotArea>
    </chartFormat>
    <chartFormat chart="11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0"/>
          </reference>
        </references>
      </pivotArea>
    </chartFormat>
    <chartFormat chart="11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0"/>
          </reference>
        </references>
      </pivotArea>
    </chartFormat>
    <chartFormat chart="11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0"/>
          </reference>
        </references>
      </pivotArea>
    </chartFormat>
    <chartFormat chart="11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0"/>
          </reference>
        </references>
      </pivotArea>
    </chartFormat>
    <chartFormat chart="11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11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11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11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11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11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11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11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11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11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11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1"/>
          </reference>
        </references>
      </pivotArea>
    </chartFormat>
    <chartFormat chart="11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1"/>
          </reference>
        </references>
      </pivotArea>
    </chartFormat>
    <chartFormat chart="11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1"/>
          </reference>
        </references>
      </pivotArea>
    </chartFormat>
    <chartFormat chart="11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1"/>
          </reference>
        </references>
      </pivotArea>
    </chartFormat>
    <chartFormat chart="11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1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2"/>
          </reference>
        </references>
      </pivotArea>
    </chartFormat>
    <chartFormat chart="11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11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11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2"/>
          </reference>
        </references>
      </pivotArea>
    </chartFormat>
    <chartFormat chart="11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11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2"/>
          </reference>
        </references>
      </pivotArea>
    </chartFormat>
    <chartFormat chart="11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  <chartFormat chart="11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2"/>
          </reference>
        </references>
      </pivotArea>
    </chartFormat>
    <chartFormat chart="11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2"/>
          </reference>
        </references>
      </pivotArea>
    </chartFormat>
    <chartFormat chart="11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2"/>
          </reference>
        </references>
      </pivotArea>
    </chartFormat>
    <chartFormat chart="11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7" count="1" selected="0">
            <x v="2"/>
          </reference>
        </references>
      </pivotArea>
    </chartFormat>
    <chartFormat chart="11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7" count="1" selected="0">
            <x v="2"/>
          </reference>
        </references>
      </pivotArea>
    </chartFormat>
    <chartFormat chart="11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7" count="1" selected="0">
            <x v="2"/>
          </reference>
        </references>
      </pivotArea>
    </chartFormat>
    <chartFormat chart="11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7" count="1" selected="0">
            <x v="2"/>
          </reference>
        </references>
      </pivotArea>
    </chartFormat>
    <chartFormat chart="11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AC07E-5498-419B-B0E7-C058AF532C0B}" name="Job Count by Skill and C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:J22" firstHeaderRow="1" firstDataRow="2" firstDataCol="1"/>
  <pivotFields count="9">
    <pivotField dataField="1" numFmtId="1" showAll="0"/>
    <pivotField axis="axisRow" showAll="0">
      <items count="16">
        <item x="6"/>
        <item x="9"/>
        <item x="1"/>
        <item x="10"/>
        <item x="12"/>
        <item x="7"/>
        <item x="3"/>
        <item x="8"/>
        <item x="5"/>
        <item x="14"/>
        <item x="11"/>
        <item x="4"/>
        <item x="13"/>
        <item x="0"/>
        <item x="2"/>
        <item t="default"/>
      </items>
    </pivotField>
    <pivotField showAll="0">
      <items count="16">
        <item x="10"/>
        <item x="1"/>
        <item x="2"/>
        <item x="6"/>
        <item x="13"/>
        <item x="11"/>
        <item x="0"/>
        <item x="12"/>
        <item x="14"/>
        <item x="3"/>
        <item x="9"/>
        <item x="5"/>
        <item x="4"/>
        <item x="7"/>
        <item x="8"/>
        <item t="default"/>
      </items>
    </pivotField>
    <pivotField axis="axisCol" showAll="0">
      <items count="9">
        <item x="2"/>
        <item x="4"/>
        <item x="0"/>
        <item x="3"/>
        <item x="1"/>
        <item x="6"/>
        <item x="7"/>
        <item x="5"/>
        <item t="default"/>
      </items>
    </pivotField>
    <pivotField numFmtId="49" showAll="0">
      <items count="37">
        <item x="4"/>
        <item x="18"/>
        <item x="20"/>
        <item x="32"/>
        <item x="0"/>
        <item x="3"/>
        <item x="17"/>
        <item x="21"/>
        <item x="13"/>
        <item x="33"/>
        <item x="23"/>
        <item x="7"/>
        <item x="26"/>
        <item x="2"/>
        <item x="5"/>
        <item x="12"/>
        <item x="24"/>
        <item x="25"/>
        <item x="28"/>
        <item x="19"/>
        <item x="11"/>
        <item x="1"/>
        <item x="22"/>
        <item x="15"/>
        <item x="9"/>
        <item x="10"/>
        <item x="27"/>
        <item x="8"/>
        <item x="35"/>
        <item x="14"/>
        <item x="29"/>
        <item x="16"/>
        <item x="30"/>
        <item x="34"/>
        <item x="31"/>
        <item x="6"/>
        <item t="default"/>
      </items>
    </pivotField>
    <pivotField showAll="0">
      <items count="13">
        <item x="0"/>
        <item x="9"/>
        <item x="3"/>
        <item x="11"/>
        <item x="1"/>
        <item x="4"/>
        <item x="6"/>
        <item x="5"/>
        <item x="2"/>
        <item x="8"/>
        <item x="7"/>
        <item x="10"/>
        <item t="default"/>
      </items>
    </pivotField>
    <pivotField showAll="0">
      <items count="8">
        <item x="5"/>
        <item x="4"/>
        <item x="0"/>
        <item x="2"/>
        <item x="6"/>
        <item x="1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No of employees" fld="0" subtotal="count" baseField="1" baseItem="0"/>
  </dataFields>
  <formats count="40"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grandRow="1" outline="0" fieldPosition="0"/>
    </format>
    <format dxfId="86">
      <pivotArea collapsedLevelsAreSubtotals="1" fieldPosition="0">
        <references count="1">
          <reference field="1" count="0"/>
        </references>
      </pivotArea>
    </format>
    <format dxfId="85">
      <pivotArea type="origin" dataOnly="0" labelOnly="1" outline="0" fieldPosition="0"/>
    </format>
    <format dxfId="84">
      <pivotArea field="3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fieldPosition="0">
        <references count="1">
          <reference field="3" count="0"/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3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3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</formats>
  <chartFormats count="9"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4068-FFFB-4659-9EDB-C3167F8881A4}">
  <dimension ref="A1"/>
  <sheetViews>
    <sheetView showGridLines="0" topLeftCell="A76" zoomScale="70" zoomScaleNormal="70" workbookViewId="0">
      <selection activeCell="AE7" sqref="AE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DD48-CEA3-4F93-92B0-A0E42EFD2085}">
  <dimension ref="A1:Y100"/>
  <sheetViews>
    <sheetView showGridLines="0" tabSelected="1" topLeftCell="B1" zoomScaleNormal="100" workbookViewId="0">
      <selection activeCell="L2" sqref="L2"/>
    </sheetView>
  </sheetViews>
  <sheetFormatPr defaultRowHeight="14.4" x14ac:dyDescent="0.3"/>
  <cols>
    <col min="1" max="1" width="23.109375" bestFit="1" customWidth="1"/>
    <col min="2" max="2" width="16.44140625" bestFit="1" customWidth="1"/>
    <col min="3" max="3" width="4.5546875" bestFit="1" customWidth="1"/>
    <col min="4" max="4" width="8.33203125" bestFit="1" customWidth="1"/>
    <col min="5" max="5" width="11.44140625" bestFit="1" customWidth="1"/>
    <col min="6" max="6" width="20" customWidth="1"/>
    <col min="7" max="7" width="15.44140625" bestFit="1" customWidth="1"/>
    <col min="8" max="8" width="10.6640625" bestFit="1" customWidth="1"/>
    <col min="9" max="9" width="20.77734375" customWidth="1"/>
    <col min="10" max="10" width="32.109375" customWidth="1"/>
    <col min="11" max="11" width="8.21875" bestFit="1" customWidth="1"/>
    <col min="12" max="12" width="22.109375" customWidth="1"/>
    <col min="13" max="13" width="24.77734375" customWidth="1"/>
    <col min="14" max="14" width="14.88671875" bestFit="1" customWidth="1"/>
    <col min="15" max="15" width="16" bestFit="1" customWidth="1"/>
    <col min="16" max="16" width="25.33203125" bestFit="1" customWidth="1"/>
    <col min="17" max="17" width="22.33203125" bestFit="1" customWidth="1"/>
    <col min="18" max="18" width="14.77734375" customWidth="1"/>
    <col min="19" max="19" width="16.88671875" customWidth="1"/>
    <col min="20" max="20" width="20.21875" customWidth="1"/>
    <col min="21" max="21" width="10.44140625" customWidth="1"/>
    <col min="22" max="22" width="19" customWidth="1"/>
    <col min="23" max="23" width="20.88671875" customWidth="1"/>
    <col min="24" max="24" width="14.88671875" bestFit="1" customWidth="1"/>
    <col min="25" max="25" width="15.109375" customWidth="1"/>
  </cols>
  <sheetData>
    <row r="1" spans="1:25" ht="91.2" customHeight="1" thickTop="1" x14ac:dyDescent="0.3">
      <c r="A1" s="58" t="s">
        <v>75</v>
      </c>
      <c r="B1" s="59"/>
      <c r="C1" s="59"/>
      <c r="D1" s="59"/>
      <c r="E1" s="59"/>
      <c r="F1" s="59"/>
      <c r="G1" s="59"/>
      <c r="H1" s="59"/>
      <c r="I1" s="59"/>
      <c r="J1" s="6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2.4" customHeight="1" thickBot="1" x14ac:dyDescent="0.35">
      <c r="A2" s="61"/>
      <c r="B2" s="62"/>
      <c r="C2" s="62"/>
      <c r="D2" s="62"/>
      <c r="E2" s="62"/>
      <c r="F2" s="62"/>
      <c r="G2" s="62"/>
      <c r="H2" s="62"/>
      <c r="I2" s="62"/>
      <c r="J2" s="6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2.4" customHeight="1" thickTop="1" x14ac:dyDescent="0.3">
      <c r="A3" s="72" t="s">
        <v>76</v>
      </c>
      <c r="B3" s="73"/>
      <c r="C3" s="73"/>
      <c r="D3" s="73"/>
      <c r="E3" s="73"/>
      <c r="F3" s="73"/>
      <c r="G3" s="73"/>
      <c r="H3" s="73"/>
      <c r="I3" s="73"/>
      <c r="J3" s="74"/>
      <c r="K3" s="5"/>
      <c r="L3" s="64"/>
      <c r="M3" s="64"/>
      <c r="N3" s="64"/>
      <c r="O3" s="64"/>
      <c r="P3" s="64"/>
      <c r="Q3" s="64"/>
      <c r="R3" s="64"/>
      <c r="S3" s="64"/>
      <c r="T3" s="64"/>
      <c r="U3" s="6"/>
      <c r="V3" s="6"/>
      <c r="W3" s="6"/>
      <c r="X3" s="6"/>
      <c r="Y3" s="6"/>
    </row>
    <row r="4" spans="1:25" ht="32.4" customHeight="1" x14ac:dyDescent="0.3">
      <c r="A4" s="75"/>
      <c r="B4" s="66"/>
      <c r="C4" s="66"/>
      <c r="D4" s="66"/>
      <c r="E4" s="66"/>
      <c r="F4" s="66"/>
      <c r="G4" s="66"/>
      <c r="H4" s="66"/>
      <c r="I4" s="66"/>
      <c r="J4" s="68"/>
      <c r="K4" s="5"/>
      <c r="U4" s="6"/>
      <c r="V4" s="6"/>
      <c r="W4" s="6"/>
      <c r="X4" s="6"/>
      <c r="Y4" s="6"/>
    </row>
    <row r="5" spans="1:25" ht="19.8" x14ac:dyDescent="0.4">
      <c r="A5" s="41" t="s">
        <v>80</v>
      </c>
      <c r="B5" s="42" t="s">
        <v>71</v>
      </c>
      <c r="C5" s="43"/>
      <c r="D5" s="43"/>
      <c r="E5" s="43"/>
      <c r="F5" s="43"/>
      <c r="G5" s="43"/>
      <c r="H5" s="43"/>
      <c r="I5" s="43"/>
      <c r="J5" s="44"/>
      <c r="K5" s="5"/>
    </row>
    <row r="6" spans="1:25" ht="19.8" x14ac:dyDescent="0.4">
      <c r="A6" s="41" t="s">
        <v>69</v>
      </c>
      <c r="B6" s="43" t="s">
        <v>18</v>
      </c>
      <c r="C6" s="43" t="s">
        <v>30</v>
      </c>
      <c r="D6" s="43" t="s">
        <v>8</v>
      </c>
      <c r="E6" s="43" t="s">
        <v>22</v>
      </c>
      <c r="F6" s="43" t="s">
        <v>14</v>
      </c>
      <c r="G6" s="43" t="s">
        <v>38</v>
      </c>
      <c r="H6" s="43" t="s">
        <v>44</v>
      </c>
      <c r="I6" s="43" t="s">
        <v>36</v>
      </c>
      <c r="J6" s="44" t="s">
        <v>70</v>
      </c>
      <c r="K6" s="5"/>
    </row>
    <row r="7" spans="1:25" ht="19.8" x14ac:dyDescent="0.4">
      <c r="A7" s="45" t="s">
        <v>63</v>
      </c>
      <c r="B7" s="43">
        <v>2</v>
      </c>
      <c r="C7" s="43">
        <v>2</v>
      </c>
      <c r="D7" s="43">
        <v>1</v>
      </c>
      <c r="E7" s="43">
        <v>2</v>
      </c>
      <c r="F7" s="43">
        <v>2</v>
      </c>
      <c r="G7" s="43">
        <v>1</v>
      </c>
      <c r="H7" s="43">
        <v>1</v>
      </c>
      <c r="I7" s="43">
        <v>3</v>
      </c>
      <c r="J7" s="44">
        <v>14</v>
      </c>
      <c r="K7" s="5"/>
    </row>
    <row r="8" spans="1:25" ht="19.8" x14ac:dyDescent="0.4">
      <c r="A8" s="45" t="s">
        <v>42</v>
      </c>
      <c r="B8" s="43">
        <v>2</v>
      </c>
      <c r="C8" s="43">
        <v>1</v>
      </c>
      <c r="D8" s="43">
        <v>2</v>
      </c>
      <c r="E8" s="43">
        <v>2</v>
      </c>
      <c r="F8" s="43"/>
      <c r="G8" s="43">
        <v>2</v>
      </c>
      <c r="H8" s="43">
        <v>1</v>
      </c>
      <c r="I8" s="43"/>
      <c r="J8" s="44">
        <v>10</v>
      </c>
      <c r="K8" s="5"/>
    </row>
    <row r="9" spans="1:25" ht="19.8" x14ac:dyDescent="0.4">
      <c r="A9" s="45" t="s">
        <v>12</v>
      </c>
      <c r="B9" s="43">
        <v>1</v>
      </c>
      <c r="C9" s="43">
        <v>2</v>
      </c>
      <c r="D9" s="43">
        <v>2</v>
      </c>
      <c r="E9" s="43"/>
      <c r="F9" s="43">
        <v>2</v>
      </c>
      <c r="G9" s="43">
        <v>2</v>
      </c>
      <c r="H9" s="43"/>
      <c r="I9" s="43"/>
      <c r="J9" s="44">
        <v>9</v>
      </c>
      <c r="K9" s="5"/>
    </row>
    <row r="10" spans="1:25" ht="19.8" x14ac:dyDescent="0.4">
      <c r="A10" s="45" t="s">
        <v>47</v>
      </c>
      <c r="B10" s="43"/>
      <c r="C10" s="43">
        <v>1</v>
      </c>
      <c r="D10" s="43"/>
      <c r="E10" s="43">
        <v>1</v>
      </c>
      <c r="F10" s="43"/>
      <c r="G10" s="43">
        <v>1</v>
      </c>
      <c r="H10" s="43">
        <v>1</v>
      </c>
      <c r="I10" s="43"/>
      <c r="J10" s="44">
        <v>4</v>
      </c>
      <c r="K10" s="5"/>
    </row>
    <row r="11" spans="1:25" ht="19.8" x14ac:dyDescent="0.4">
      <c r="A11" s="45" t="s">
        <v>52</v>
      </c>
      <c r="B11" s="43">
        <v>2</v>
      </c>
      <c r="C11" s="43"/>
      <c r="D11" s="43">
        <v>1</v>
      </c>
      <c r="E11" s="43"/>
      <c r="F11" s="43">
        <v>1</v>
      </c>
      <c r="G11" s="43"/>
      <c r="H11" s="43">
        <v>1</v>
      </c>
      <c r="I11" s="43"/>
      <c r="J11" s="44">
        <v>5</v>
      </c>
      <c r="K11" s="5"/>
      <c r="O11" s="5"/>
    </row>
    <row r="12" spans="1:25" ht="17.399999999999999" customHeight="1" x14ac:dyDescent="0.4">
      <c r="A12" s="45" t="s">
        <v>37</v>
      </c>
      <c r="B12" s="43"/>
      <c r="C12" s="43">
        <v>2</v>
      </c>
      <c r="D12" s="43"/>
      <c r="E12" s="43">
        <v>2</v>
      </c>
      <c r="F12" s="43"/>
      <c r="G12" s="43">
        <v>2</v>
      </c>
      <c r="H12" s="43"/>
      <c r="I12" s="43">
        <v>3</v>
      </c>
      <c r="J12" s="44">
        <v>9</v>
      </c>
      <c r="K12" s="5"/>
      <c r="L12" s="65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 ht="19.8" x14ac:dyDescent="0.4">
      <c r="A13" s="45" t="s">
        <v>20</v>
      </c>
      <c r="B13" s="43"/>
      <c r="C13" s="43"/>
      <c r="D13" s="43"/>
      <c r="E13" s="43">
        <v>1</v>
      </c>
      <c r="F13" s="43"/>
      <c r="G13" s="43"/>
      <c r="H13" s="43">
        <v>3</v>
      </c>
      <c r="I13" s="43"/>
      <c r="J13" s="44">
        <v>4</v>
      </c>
      <c r="K13" s="5"/>
    </row>
    <row r="14" spans="1:25" ht="19.8" x14ac:dyDescent="0.4">
      <c r="A14" s="45" t="s">
        <v>40</v>
      </c>
      <c r="B14" s="43">
        <v>1</v>
      </c>
      <c r="C14" s="43">
        <v>2</v>
      </c>
      <c r="D14" s="43">
        <v>1</v>
      </c>
      <c r="E14" s="43"/>
      <c r="F14" s="43">
        <v>1</v>
      </c>
      <c r="G14" s="43">
        <v>1</v>
      </c>
      <c r="H14" s="43"/>
      <c r="I14" s="43"/>
      <c r="J14" s="44">
        <v>6</v>
      </c>
      <c r="K14" s="5"/>
    </row>
    <row r="15" spans="1:25" ht="19.8" x14ac:dyDescent="0.4">
      <c r="A15" s="45" t="s">
        <v>64</v>
      </c>
      <c r="B15" s="43">
        <v>1</v>
      </c>
      <c r="C15" s="43">
        <v>3</v>
      </c>
      <c r="D15" s="43">
        <v>2</v>
      </c>
      <c r="E15" s="43"/>
      <c r="F15" s="43"/>
      <c r="G15" s="43"/>
      <c r="H15" s="43"/>
      <c r="I15" s="43"/>
      <c r="J15" s="44">
        <v>6</v>
      </c>
      <c r="K15" s="5"/>
    </row>
    <row r="16" spans="1:25" ht="19.8" x14ac:dyDescent="0.4">
      <c r="A16" s="45" t="s">
        <v>66</v>
      </c>
      <c r="B16" s="43"/>
      <c r="C16" s="43"/>
      <c r="D16" s="43"/>
      <c r="E16" s="43"/>
      <c r="F16" s="43">
        <v>1</v>
      </c>
      <c r="G16" s="43"/>
      <c r="H16" s="43">
        <v>1</v>
      </c>
      <c r="I16" s="43"/>
      <c r="J16" s="44">
        <v>2</v>
      </c>
      <c r="K16" s="5"/>
    </row>
    <row r="17" spans="1:25" ht="19.8" x14ac:dyDescent="0.4">
      <c r="A17" s="45" t="s">
        <v>50</v>
      </c>
      <c r="B17" s="43">
        <v>3</v>
      </c>
      <c r="C17" s="43"/>
      <c r="D17" s="43">
        <v>1</v>
      </c>
      <c r="E17" s="43"/>
      <c r="F17" s="43"/>
      <c r="G17" s="43"/>
      <c r="H17" s="43"/>
      <c r="I17" s="43">
        <v>1</v>
      </c>
      <c r="J17" s="44">
        <v>5</v>
      </c>
      <c r="K17" s="5"/>
    </row>
    <row r="18" spans="1:25" ht="19.8" x14ac:dyDescent="0.4">
      <c r="A18" s="45" t="s">
        <v>25</v>
      </c>
      <c r="B18" s="43"/>
      <c r="C18" s="43"/>
      <c r="D18" s="43"/>
      <c r="E18" s="43">
        <v>4</v>
      </c>
      <c r="F18" s="43"/>
      <c r="G18" s="43"/>
      <c r="H18" s="43"/>
      <c r="I18" s="43">
        <v>1</v>
      </c>
      <c r="J18" s="44">
        <v>5</v>
      </c>
      <c r="K18" s="5"/>
    </row>
    <row r="19" spans="1:25" ht="19.8" x14ac:dyDescent="0.4">
      <c r="A19" s="45" t="s">
        <v>53</v>
      </c>
      <c r="B19" s="43"/>
      <c r="C19" s="43"/>
      <c r="D19" s="43"/>
      <c r="E19" s="43">
        <v>1</v>
      </c>
      <c r="F19" s="43"/>
      <c r="G19" s="43">
        <v>2</v>
      </c>
      <c r="H19" s="43">
        <v>1</v>
      </c>
      <c r="I19" s="43"/>
      <c r="J19" s="44">
        <v>4</v>
      </c>
      <c r="K19" s="5"/>
    </row>
    <row r="20" spans="1:25" ht="19.8" x14ac:dyDescent="0.4">
      <c r="A20" s="45" t="s">
        <v>6</v>
      </c>
      <c r="B20" s="43">
        <v>1</v>
      </c>
      <c r="C20" s="43">
        <v>2</v>
      </c>
      <c r="D20" s="43">
        <v>3</v>
      </c>
      <c r="E20" s="43"/>
      <c r="F20" s="43"/>
      <c r="G20" s="43"/>
      <c r="H20" s="43">
        <v>1</v>
      </c>
      <c r="I20" s="43"/>
      <c r="J20" s="44">
        <v>7</v>
      </c>
      <c r="K20" s="5"/>
    </row>
    <row r="21" spans="1:25" ht="20.399999999999999" thickBot="1" x14ac:dyDescent="0.45">
      <c r="A21" s="45" t="s">
        <v>65</v>
      </c>
      <c r="B21" s="43">
        <v>1</v>
      </c>
      <c r="C21" s="43">
        <v>1</v>
      </c>
      <c r="D21" s="43">
        <v>3</v>
      </c>
      <c r="E21" s="43">
        <v>1</v>
      </c>
      <c r="F21" s="43">
        <v>1</v>
      </c>
      <c r="G21" s="43">
        <v>2</v>
      </c>
      <c r="H21" s="43"/>
      <c r="I21" s="43">
        <v>1</v>
      </c>
      <c r="J21" s="44">
        <v>10</v>
      </c>
      <c r="K21" s="5"/>
    </row>
    <row r="22" spans="1:25" ht="21" thickTop="1" thickBot="1" x14ac:dyDescent="0.45">
      <c r="A22" s="46" t="s">
        <v>70</v>
      </c>
      <c r="B22" s="47">
        <v>14</v>
      </c>
      <c r="C22" s="48">
        <v>16</v>
      </c>
      <c r="D22" s="48">
        <v>16</v>
      </c>
      <c r="E22" s="48">
        <v>14</v>
      </c>
      <c r="F22" s="48">
        <v>8</v>
      </c>
      <c r="G22" s="48">
        <v>13</v>
      </c>
      <c r="H22" s="48">
        <v>10</v>
      </c>
      <c r="I22" s="48">
        <v>9</v>
      </c>
      <c r="J22" s="49">
        <v>100</v>
      </c>
      <c r="K22" s="5"/>
    </row>
    <row r="23" spans="1:25" ht="15" thickTop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3">
      <c r="B24" s="5"/>
      <c r="C24" s="5"/>
      <c r="D24" s="5"/>
      <c r="E24" s="5"/>
      <c r="F24" s="5"/>
      <c r="G24" s="5"/>
      <c r="H24" s="5"/>
      <c r="I24" s="5"/>
      <c r="J24" s="5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5" ht="15" thickBot="1" x14ac:dyDescent="0.35">
      <c r="D26" s="5"/>
    </row>
    <row r="27" spans="1:25" ht="23.4" customHeight="1" thickTop="1" thickBot="1" x14ac:dyDescent="0.35">
      <c r="A27" s="32" t="s">
        <v>4</v>
      </c>
      <c r="B27" s="26" t="s">
        <v>73</v>
      </c>
      <c r="C27" s="17"/>
      <c r="D27" s="17"/>
      <c r="E27" s="19"/>
      <c r="F27" s="5"/>
      <c r="G27" s="5"/>
      <c r="H27" s="5"/>
      <c r="I27" s="5"/>
      <c r="J27" s="6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 spans="1:25" ht="33.6" thickTop="1" thickBot="1" x14ac:dyDescent="0.35">
      <c r="A28" s="67" t="s">
        <v>82</v>
      </c>
      <c r="B28" s="66"/>
      <c r="C28" s="66"/>
      <c r="D28" s="66"/>
      <c r="E28" s="6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 spans="1:25" ht="15.6" thickTop="1" thickBot="1" x14ac:dyDescent="0.35">
      <c r="A29" s="23" t="s">
        <v>80</v>
      </c>
      <c r="B29" s="23" t="s">
        <v>71</v>
      </c>
      <c r="C29" s="24"/>
      <c r="D29" s="25"/>
      <c r="E29" s="26"/>
    </row>
    <row r="30" spans="1:25" ht="15.6" thickTop="1" thickBot="1" x14ac:dyDescent="0.35">
      <c r="A30" s="23" t="s">
        <v>69</v>
      </c>
      <c r="B30" s="24" t="s">
        <v>41</v>
      </c>
      <c r="C30" s="25" t="s">
        <v>11</v>
      </c>
      <c r="D30" s="26" t="s">
        <v>28</v>
      </c>
      <c r="E30" s="31" t="s">
        <v>70</v>
      </c>
    </row>
    <row r="31" spans="1:25" ht="15" thickTop="1" x14ac:dyDescent="0.3">
      <c r="A31" s="27" t="s">
        <v>63</v>
      </c>
      <c r="B31" s="80"/>
      <c r="C31" s="81">
        <v>14</v>
      </c>
      <c r="D31" s="81"/>
      <c r="E31" s="82">
        <v>14</v>
      </c>
    </row>
    <row r="32" spans="1:25" x14ac:dyDescent="0.3">
      <c r="A32" s="28" t="s">
        <v>42</v>
      </c>
      <c r="B32" s="84">
        <v>5</v>
      </c>
      <c r="C32" s="76">
        <v>1</v>
      </c>
      <c r="D32" s="76">
        <v>4</v>
      </c>
      <c r="E32" s="77">
        <v>10</v>
      </c>
    </row>
    <row r="33" spans="1:5" x14ac:dyDescent="0.3">
      <c r="A33" s="28" t="s">
        <v>12</v>
      </c>
      <c r="B33" s="84"/>
      <c r="C33" s="76">
        <v>7</v>
      </c>
      <c r="D33" s="76">
        <v>2</v>
      </c>
      <c r="E33" s="77">
        <v>9</v>
      </c>
    </row>
    <row r="34" spans="1:5" x14ac:dyDescent="0.3">
      <c r="A34" s="28" t="s">
        <v>47</v>
      </c>
      <c r="B34" s="84"/>
      <c r="C34" s="76">
        <v>3</v>
      </c>
      <c r="D34" s="76">
        <v>1</v>
      </c>
      <c r="E34" s="77">
        <v>4</v>
      </c>
    </row>
    <row r="35" spans="1:5" x14ac:dyDescent="0.3">
      <c r="A35" s="28" t="s">
        <v>52</v>
      </c>
      <c r="B35" s="84"/>
      <c r="C35" s="76">
        <v>4</v>
      </c>
      <c r="D35" s="76">
        <v>1</v>
      </c>
      <c r="E35" s="77">
        <v>5</v>
      </c>
    </row>
    <row r="36" spans="1:5" x14ac:dyDescent="0.3">
      <c r="A36" s="28" t="s">
        <v>37</v>
      </c>
      <c r="B36" s="84"/>
      <c r="C36" s="76">
        <v>8</v>
      </c>
      <c r="D36" s="76">
        <v>1</v>
      </c>
      <c r="E36" s="77">
        <v>9</v>
      </c>
    </row>
    <row r="37" spans="1:5" x14ac:dyDescent="0.3">
      <c r="A37" s="28" t="s">
        <v>20</v>
      </c>
      <c r="B37" s="84"/>
      <c r="C37" s="76">
        <v>4</v>
      </c>
      <c r="D37" s="76"/>
      <c r="E37" s="77">
        <v>4</v>
      </c>
    </row>
    <row r="38" spans="1:5" x14ac:dyDescent="0.3">
      <c r="A38" s="28" t="s">
        <v>40</v>
      </c>
      <c r="B38" s="84">
        <v>2</v>
      </c>
      <c r="C38" s="76">
        <v>2</v>
      </c>
      <c r="D38" s="76">
        <v>2</v>
      </c>
      <c r="E38" s="77">
        <v>6</v>
      </c>
    </row>
    <row r="39" spans="1:5" x14ac:dyDescent="0.3">
      <c r="A39" s="28" t="s">
        <v>64</v>
      </c>
      <c r="B39" s="84">
        <v>1</v>
      </c>
      <c r="C39" s="76">
        <v>3</v>
      </c>
      <c r="D39" s="76">
        <v>2</v>
      </c>
      <c r="E39" s="77">
        <v>6</v>
      </c>
    </row>
    <row r="40" spans="1:5" ht="51" customHeight="1" x14ac:dyDescent="0.3">
      <c r="A40" s="28" t="s">
        <v>66</v>
      </c>
      <c r="B40" s="84"/>
      <c r="C40" s="76">
        <v>2</v>
      </c>
      <c r="D40" s="76"/>
      <c r="E40" s="77">
        <v>2</v>
      </c>
    </row>
    <row r="41" spans="1:5" x14ac:dyDescent="0.3">
      <c r="A41" s="28" t="s">
        <v>50</v>
      </c>
      <c r="B41" s="84"/>
      <c r="C41" s="76">
        <v>5</v>
      </c>
      <c r="D41" s="76"/>
      <c r="E41" s="77">
        <v>5</v>
      </c>
    </row>
    <row r="42" spans="1:5" x14ac:dyDescent="0.3">
      <c r="A42" s="28" t="s">
        <v>25</v>
      </c>
      <c r="B42" s="84"/>
      <c r="C42" s="76">
        <v>3</v>
      </c>
      <c r="D42" s="76">
        <v>2</v>
      </c>
      <c r="E42" s="77">
        <v>5</v>
      </c>
    </row>
    <row r="43" spans="1:5" x14ac:dyDescent="0.3">
      <c r="A43" s="28" t="s">
        <v>53</v>
      </c>
      <c r="B43" s="84"/>
      <c r="C43" s="76">
        <v>4</v>
      </c>
      <c r="D43" s="76"/>
      <c r="E43" s="77">
        <v>4</v>
      </c>
    </row>
    <row r="44" spans="1:5" x14ac:dyDescent="0.3">
      <c r="A44" s="28" t="s">
        <v>6</v>
      </c>
      <c r="B44" s="84"/>
      <c r="C44" s="76">
        <v>7</v>
      </c>
      <c r="D44" s="76"/>
      <c r="E44" s="77">
        <v>7</v>
      </c>
    </row>
    <row r="45" spans="1:5" ht="15" thickBot="1" x14ac:dyDescent="0.35">
      <c r="A45" s="29" t="s">
        <v>65</v>
      </c>
      <c r="B45" s="84"/>
      <c r="C45" s="76">
        <v>7</v>
      </c>
      <c r="D45" s="76">
        <v>3</v>
      </c>
      <c r="E45" s="77">
        <v>10</v>
      </c>
    </row>
    <row r="46" spans="1:5" ht="15.6" thickTop="1" thickBot="1" x14ac:dyDescent="0.35">
      <c r="A46" s="30" t="s">
        <v>70</v>
      </c>
      <c r="B46" s="83">
        <v>8</v>
      </c>
      <c r="C46" s="78">
        <v>74</v>
      </c>
      <c r="D46" s="78">
        <v>18</v>
      </c>
      <c r="E46" s="79">
        <v>100</v>
      </c>
    </row>
    <row r="47" spans="1:5" ht="15" thickTop="1" x14ac:dyDescent="0.3"/>
    <row r="52" spans="1:19" ht="15" thickBot="1" x14ac:dyDescent="0.35"/>
    <row r="53" spans="1:19" ht="45.6" customHeight="1" thickTop="1" x14ac:dyDescent="0.3">
      <c r="A53" s="69" t="s">
        <v>79</v>
      </c>
      <c r="B53" s="70"/>
      <c r="C53" s="70"/>
      <c r="D53" s="70"/>
      <c r="E53" s="70"/>
      <c r="F53" s="70"/>
      <c r="G53" s="70"/>
      <c r="H53" s="70"/>
      <c r="I53" s="71"/>
    </row>
    <row r="54" spans="1:19" ht="25.8" x14ac:dyDescent="0.5">
      <c r="A54" s="50" t="s">
        <v>74</v>
      </c>
      <c r="B54" s="51" t="s">
        <v>71</v>
      </c>
      <c r="C54" s="52"/>
      <c r="D54" s="52"/>
      <c r="E54" s="52"/>
      <c r="F54" s="52"/>
      <c r="G54" s="52"/>
      <c r="H54" s="52"/>
      <c r="I54" s="53"/>
    </row>
    <row r="55" spans="1:19" ht="25.8" x14ac:dyDescent="0.5">
      <c r="A55" s="50" t="s">
        <v>69</v>
      </c>
      <c r="B55" s="52" t="s">
        <v>48</v>
      </c>
      <c r="C55" s="52" t="s">
        <v>32</v>
      </c>
      <c r="D55" s="52" t="s">
        <v>10</v>
      </c>
      <c r="E55" s="52" t="s">
        <v>19</v>
      </c>
      <c r="F55" s="52" t="s">
        <v>56</v>
      </c>
      <c r="G55" s="52" t="s">
        <v>16</v>
      </c>
      <c r="H55" s="52" t="s">
        <v>24</v>
      </c>
      <c r="I55" s="53" t="s">
        <v>70</v>
      </c>
    </row>
    <row r="56" spans="1:19" ht="25.8" x14ac:dyDescent="0.5">
      <c r="A56" s="54">
        <v>2027</v>
      </c>
      <c r="B56" s="52"/>
      <c r="C56" s="52">
        <v>16</v>
      </c>
      <c r="D56" s="52"/>
      <c r="E56" s="52"/>
      <c r="F56" s="52"/>
      <c r="G56" s="52"/>
      <c r="H56" s="52"/>
      <c r="I56" s="53">
        <v>16</v>
      </c>
    </row>
    <row r="57" spans="1:19" ht="25.8" x14ac:dyDescent="0.5">
      <c r="A57" s="54">
        <v>2028</v>
      </c>
      <c r="B57" s="52"/>
      <c r="C57" s="52"/>
      <c r="D57" s="52"/>
      <c r="E57" s="52">
        <v>15</v>
      </c>
      <c r="F57" s="52">
        <v>2</v>
      </c>
      <c r="G57" s="52">
        <v>24</v>
      </c>
      <c r="H57" s="52"/>
      <c r="I57" s="53">
        <v>41</v>
      </c>
    </row>
    <row r="58" spans="1:19" ht="25.8" x14ac:dyDescent="0.5">
      <c r="A58" s="54">
        <v>2030</v>
      </c>
      <c r="B58" s="52">
        <v>4</v>
      </c>
      <c r="C58" s="52"/>
      <c r="D58" s="52">
        <v>16</v>
      </c>
      <c r="E58" s="52"/>
      <c r="F58" s="52"/>
      <c r="G58" s="52"/>
      <c r="H58" s="52">
        <v>23</v>
      </c>
      <c r="I58" s="53">
        <v>43</v>
      </c>
    </row>
    <row r="59" spans="1:19" ht="26.4" thickBot="1" x14ac:dyDescent="0.55000000000000004">
      <c r="A59" s="55" t="s">
        <v>70</v>
      </c>
      <c r="B59" s="56">
        <v>4</v>
      </c>
      <c r="C59" s="56">
        <v>16</v>
      </c>
      <c r="D59" s="56">
        <v>16</v>
      </c>
      <c r="E59" s="56">
        <v>15</v>
      </c>
      <c r="F59" s="56">
        <v>2</v>
      </c>
      <c r="G59" s="56">
        <v>24</v>
      </c>
      <c r="H59" s="56">
        <v>23</v>
      </c>
      <c r="I59" s="57">
        <v>100</v>
      </c>
    </row>
    <row r="60" spans="1:19" ht="15" thickTop="1" x14ac:dyDescent="0.3"/>
    <row r="62" spans="1:19" ht="15" thickBot="1" x14ac:dyDescent="0.35"/>
    <row r="63" spans="1:19" ht="15.6" thickTop="1" thickBot="1" x14ac:dyDescent="0.35">
      <c r="A63" s="32" t="s">
        <v>5</v>
      </c>
      <c r="B63" s="26" t="s">
        <v>73</v>
      </c>
      <c r="C63" s="17"/>
      <c r="D63" s="18"/>
      <c r="E63" s="17"/>
      <c r="F63" s="17"/>
      <c r="G63" s="17"/>
      <c r="H63" s="17"/>
      <c r="I63" s="17"/>
      <c r="J63" s="17"/>
      <c r="K63" s="17"/>
      <c r="L63" s="17"/>
      <c r="M63" s="17"/>
      <c r="N63" s="19"/>
    </row>
    <row r="64" spans="1:19" ht="39" customHeight="1" thickTop="1" thickBot="1" x14ac:dyDescent="0.35">
      <c r="A64" s="67" t="s">
        <v>78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8"/>
      <c r="O64" s="5"/>
      <c r="P64" s="5"/>
      <c r="Q64" s="5"/>
      <c r="R64" s="5"/>
      <c r="S64" s="5"/>
    </row>
    <row r="65" spans="1:19" ht="15.6" thickTop="1" thickBot="1" x14ac:dyDescent="0.35">
      <c r="A65" s="23" t="s">
        <v>81</v>
      </c>
      <c r="B65" s="23" t="s">
        <v>71</v>
      </c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5"/>
      <c r="P65" s="5"/>
      <c r="Q65" s="5"/>
      <c r="R65" s="5"/>
      <c r="S65" s="5"/>
    </row>
    <row r="66" spans="1:19" ht="15.6" thickTop="1" thickBot="1" x14ac:dyDescent="0.35">
      <c r="A66" s="23" t="s">
        <v>69</v>
      </c>
      <c r="B66" s="24" t="s">
        <v>9</v>
      </c>
      <c r="C66" s="25" t="s">
        <v>46</v>
      </c>
      <c r="D66" s="25" t="s">
        <v>23</v>
      </c>
      <c r="E66" s="25" t="s">
        <v>54</v>
      </c>
      <c r="F66" s="25" t="s">
        <v>15</v>
      </c>
      <c r="G66" s="25" t="s">
        <v>27</v>
      </c>
      <c r="H66" s="25" t="s">
        <v>34</v>
      </c>
      <c r="I66" s="25" t="s">
        <v>31</v>
      </c>
      <c r="J66" s="25" t="s">
        <v>60</v>
      </c>
      <c r="K66" s="25" t="s">
        <v>61</v>
      </c>
      <c r="L66" s="25" t="s">
        <v>67</v>
      </c>
      <c r="M66" s="26" t="s">
        <v>62</v>
      </c>
      <c r="N66" s="31" t="s">
        <v>70</v>
      </c>
    </row>
    <row r="67" spans="1:19" ht="15" thickTop="1" x14ac:dyDescent="0.3">
      <c r="A67" s="27" t="s">
        <v>48</v>
      </c>
      <c r="B67" s="20">
        <v>1</v>
      </c>
      <c r="C67" s="17"/>
      <c r="D67" s="17">
        <v>1</v>
      </c>
      <c r="E67" s="17"/>
      <c r="F67" s="17">
        <v>1</v>
      </c>
      <c r="G67" s="17"/>
      <c r="H67" s="17"/>
      <c r="I67" s="17"/>
      <c r="J67" s="17"/>
      <c r="K67" s="17"/>
      <c r="L67" s="17">
        <v>1</v>
      </c>
      <c r="M67" s="17"/>
      <c r="N67" s="19">
        <v>4</v>
      </c>
    </row>
    <row r="68" spans="1:19" x14ac:dyDescent="0.3">
      <c r="A68" s="28" t="s">
        <v>32</v>
      </c>
      <c r="B68" s="21">
        <v>2</v>
      </c>
      <c r="D68">
        <v>2</v>
      </c>
      <c r="E68">
        <v>1</v>
      </c>
      <c r="F68">
        <v>1</v>
      </c>
      <c r="G68">
        <v>1</v>
      </c>
      <c r="H68">
        <v>1</v>
      </c>
      <c r="I68">
        <v>3</v>
      </c>
      <c r="J68">
        <v>1</v>
      </c>
      <c r="L68">
        <v>1</v>
      </c>
      <c r="M68">
        <v>3</v>
      </c>
      <c r="N68" s="9">
        <v>16</v>
      </c>
    </row>
    <row r="69" spans="1:19" x14ac:dyDescent="0.3">
      <c r="A69" s="28" t="s">
        <v>10</v>
      </c>
      <c r="B69" s="21">
        <v>5</v>
      </c>
      <c r="D69">
        <v>2</v>
      </c>
      <c r="G69">
        <v>3</v>
      </c>
      <c r="H69">
        <v>2</v>
      </c>
      <c r="J69">
        <v>1</v>
      </c>
      <c r="K69">
        <v>1</v>
      </c>
      <c r="M69">
        <v>2</v>
      </c>
      <c r="N69" s="9">
        <v>16</v>
      </c>
    </row>
    <row r="70" spans="1:19" x14ac:dyDescent="0.3">
      <c r="A70" s="28" t="s">
        <v>19</v>
      </c>
      <c r="B70" s="21">
        <v>2</v>
      </c>
      <c r="F70">
        <v>3</v>
      </c>
      <c r="H70">
        <v>1</v>
      </c>
      <c r="I70">
        <v>4</v>
      </c>
      <c r="J70">
        <v>3</v>
      </c>
      <c r="K70">
        <v>1</v>
      </c>
      <c r="M70">
        <v>1</v>
      </c>
      <c r="N70" s="9">
        <v>15</v>
      </c>
    </row>
    <row r="71" spans="1:19" x14ac:dyDescent="0.3">
      <c r="A71" s="28" t="s">
        <v>56</v>
      </c>
      <c r="B71" s="21"/>
      <c r="G71">
        <v>1</v>
      </c>
      <c r="J71">
        <v>1</v>
      </c>
      <c r="N71" s="9">
        <v>2</v>
      </c>
    </row>
    <row r="72" spans="1:19" x14ac:dyDescent="0.3">
      <c r="A72" s="28" t="s">
        <v>16</v>
      </c>
      <c r="B72" s="21">
        <v>1</v>
      </c>
      <c r="C72">
        <v>3</v>
      </c>
      <c r="D72">
        <v>2</v>
      </c>
      <c r="E72">
        <v>1</v>
      </c>
      <c r="F72">
        <v>4</v>
      </c>
      <c r="G72">
        <v>1</v>
      </c>
      <c r="H72">
        <v>2</v>
      </c>
      <c r="I72">
        <v>4</v>
      </c>
      <c r="L72">
        <v>4</v>
      </c>
      <c r="M72">
        <v>2</v>
      </c>
      <c r="N72" s="9">
        <v>24</v>
      </c>
    </row>
    <row r="73" spans="1:19" ht="15" thickBot="1" x14ac:dyDescent="0.35">
      <c r="A73" s="29" t="s">
        <v>24</v>
      </c>
      <c r="B73" s="21"/>
      <c r="C73">
        <v>1</v>
      </c>
      <c r="D73">
        <v>3</v>
      </c>
      <c r="E73">
        <v>2</v>
      </c>
      <c r="F73">
        <v>3</v>
      </c>
      <c r="H73">
        <v>2</v>
      </c>
      <c r="J73">
        <v>2</v>
      </c>
      <c r="K73">
        <v>3</v>
      </c>
      <c r="L73">
        <v>5</v>
      </c>
      <c r="M73">
        <v>2</v>
      </c>
      <c r="N73" s="9">
        <v>23</v>
      </c>
    </row>
    <row r="74" spans="1:19" ht="15.6" thickTop="1" thickBot="1" x14ac:dyDescent="0.35">
      <c r="A74" s="30" t="s">
        <v>70</v>
      </c>
      <c r="B74" s="22">
        <v>11</v>
      </c>
      <c r="C74" s="12">
        <v>4</v>
      </c>
      <c r="D74" s="12">
        <v>10</v>
      </c>
      <c r="E74" s="12">
        <v>4</v>
      </c>
      <c r="F74" s="12">
        <v>12</v>
      </c>
      <c r="G74" s="12">
        <v>6</v>
      </c>
      <c r="H74" s="12">
        <v>8</v>
      </c>
      <c r="I74" s="12">
        <v>11</v>
      </c>
      <c r="J74" s="12">
        <v>8</v>
      </c>
      <c r="K74" s="12">
        <v>5</v>
      </c>
      <c r="L74" s="12">
        <v>11</v>
      </c>
      <c r="M74" s="12">
        <v>10</v>
      </c>
      <c r="N74" s="13">
        <v>100</v>
      </c>
    </row>
    <row r="75" spans="1:19" ht="15" thickTop="1" x14ac:dyDescent="0.3"/>
    <row r="77" spans="1:19" ht="15" thickBot="1" x14ac:dyDescent="0.35"/>
    <row r="78" spans="1:19" ht="15" thickTop="1" x14ac:dyDescent="0.3">
      <c r="A78" s="72" t="s">
        <v>77</v>
      </c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4"/>
    </row>
    <row r="79" spans="1:19" ht="30.6" customHeight="1" x14ac:dyDescent="0.3">
      <c r="A79" s="7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8"/>
    </row>
    <row r="80" spans="1:19" x14ac:dyDescent="0.3">
      <c r="A80" s="8" t="s">
        <v>72</v>
      </c>
      <c r="B80" s="7" t="s">
        <v>71</v>
      </c>
      <c r="N80" s="9"/>
    </row>
    <row r="81" spans="1:14" x14ac:dyDescent="0.3">
      <c r="A81" s="8" t="s">
        <v>69</v>
      </c>
      <c r="B81" t="s">
        <v>9</v>
      </c>
      <c r="C81" t="s">
        <v>46</v>
      </c>
      <c r="D81" t="s">
        <v>23</v>
      </c>
      <c r="E81" t="s">
        <v>54</v>
      </c>
      <c r="F81" t="s">
        <v>15</v>
      </c>
      <c r="G81" t="s">
        <v>27</v>
      </c>
      <c r="H81" t="s">
        <v>34</v>
      </c>
      <c r="I81" t="s">
        <v>31</v>
      </c>
      <c r="J81" t="s">
        <v>60</v>
      </c>
      <c r="K81" t="s">
        <v>61</v>
      </c>
      <c r="L81" t="s">
        <v>67</v>
      </c>
      <c r="M81" t="s">
        <v>62</v>
      </c>
      <c r="N81" s="9" t="s">
        <v>70</v>
      </c>
    </row>
    <row r="82" spans="1:14" x14ac:dyDescent="0.3">
      <c r="A82" s="10" t="s">
        <v>45</v>
      </c>
      <c r="B82" s="2"/>
      <c r="C82" s="2"/>
      <c r="D82" s="2"/>
      <c r="E82" s="2">
        <v>25</v>
      </c>
      <c r="F82" s="2"/>
      <c r="G82" s="2"/>
      <c r="H82" s="2">
        <v>13</v>
      </c>
      <c r="I82" s="2">
        <v>32</v>
      </c>
      <c r="J82" s="2"/>
      <c r="K82" s="2">
        <v>18</v>
      </c>
      <c r="L82" s="2">
        <v>38</v>
      </c>
      <c r="M82" s="2"/>
      <c r="N82" s="14">
        <v>25.2</v>
      </c>
    </row>
    <row r="83" spans="1:14" x14ac:dyDescent="0.3">
      <c r="A83" s="10" t="s">
        <v>13</v>
      </c>
      <c r="B83" s="2">
        <v>10</v>
      </c>
      <c r="C83" s="2"/>
      <c r="D83" s="2">
        <v>20</v>
      </c>
      <c r="E83" s="2"/>
      <c r="F83" s="2">
        <v>30.5</v>
      </c>
      <c r="G83" s="2"/>
      <c r="H83" s="2"/>
      <c r="I83" s="2"/>
      <c r="J83" s="2"/>
      <c r="K83" s="2"/>
      <c r="L83" s="2">
        <v>35.5</v>
      </c>
      <c r="M83" s="2"/>
      <c r="N83" s="14">
        <v>23.555555555555557</v>
      </c>
    </row>
    <row r="84" spans="1:14" x14ac:dyDescent="0.3">
      <c r="A84" s="10" t="s">
        <v>17</v>
      </c>
      <c r="B84" s="2">
        <v>27</v>
      </c>
      <c r="C84" s="2"/>
      <c r="D84" s="2">
        <v>6</v>
      </c>
      <c r="E84" s="2"/>
      <c r="F84" s="2">
        <v>30</v>
      </c>
      <c r="G84" s="2"/>
      <c r="H84" s="2">
        <v>25</v>
      </c>
      <c r="I84" s="2"/>
      <c r="J84" s="2">
        <v>18</v>
      </c>
      <c r="K84" s="2"/>
      <c r="L84" s="2">
        <v>9</v>
      </c>
      <c r="M84" s="2">
        <v>20</v>
      </c>
      <c r="N84" s="14">
        <v>20.777777777777779</v>
      </c>
    </row>
    <row r="85" spans="1:14" x14ac:dyDescent="0.3">
      <c r="A85" s="10" t="s">
        <v>33</v>
      </c>
      <c r="B85" s="2"/>
      <c r="C85" s="2"/>
      <c r="D85" s="2"/>
      <c r="E85" s="2"/>
      <c r="F85" s="2"/>
      <c r="G85" s="2">
        <v>18</v>
      </c>
      <c r="H85" s="2"/>
      <c r="I85" s="2">
        <v>20.5</v>
      </c>
      <c r="J85" s="2"/>
      <c r="K85" s="2"/>
      <c r="L85" s="2"/>
      <c r="M85" s="2">
        <v>34</v>
      </c>
      <c r="N85" s="14">
        <v>23.25</v>
      </c>
    </row>
    <row r="86" spans="1:14" x14ac:dyDescent="0.3">
      <c r="A86" s="10" t="s">
        <v>55</v>
      </c>
      <c r="B86" s="2"/>
      <c r="C86" s="2"/>
      <c r="D86" s="2"/>
      <c r="E86" s="2"/>
      <c r="F86" s="2">
        <v>11</v>
      </c>
      <c r="G86" s="2"/>
      <c r="H86" s="2"/>
      <c r="I86" s="2"/>
      <c r="J86" s="2">
        <v>17</v>
      </c>
      <c r="K86" s="2"/>
      <c r="L86" s="2"/>
      <c r="M86" s="2"/>
      <c r="N86" s="14">
        <v>14</v>
      </c>
    </row>
    <row r="87" spans="1:14" x14ac:dyDescent="0.3">
      <c r="A87" s="10" t="s">
        <v>49</v>
      </c>
      <c r="B87" s="2">
        <v>13.5</v>
      </c>
      <c r="C87" s="2"/>
      <c r="D87" s="2"/>
      <c r="E87" s="2"/>
      <c r="F87" s="2">
        <v>23</v>
      </c>
      <c r="G87" s="2"/>
      <c r="H87" s="2"/>
      <c r="I87" s="2">
        <v>13</v>
      </c>
      <c r="J87" s="2"/>
      <c r="K87" s="2"/>
      <c r="L87" s="2">
        <v>29</v>
      </c>
      <c r="M87" s="2">
        <v>26</v>
      </c>
      <c r="N87" s="14">
        <v>20.142857142857142</v>
      </c>
    </row>
    <row r="88" spans="1:14" x14ac:dyDescent="0.3">
      <c r="A88" s="10" t="s">
        <v>7</v>
      </c>
      <c r="B88" s="2">
        <v>9</v>
      </c>
      <c r="C88" s="2">
        <v>12</v>
      </c>
      <c r="D88" s="2"/>
      <c r="E88" s="2"/>
      <c r="F88" s="2">
        <v>13</v>
      </c>
      <c r="G88" s="2"/>
      <c r="H88" s="2"/>
      <c r="I88" s="2"/>
      <c r="J88" s="2">
        <v>18</v>
      </c>
      <c r="K88" s="2">
        <v>30</v>
      </c>
      <c r="L88" s="2">
        <v>17</v>
      </c>
      <c r="M88" s="2"/>
      <c r="N88" s="14">
        <v>16.571428571428573</v>
      </c>
    </row>
    <row r="89" spans="1:14" x14ac:dyDescent="0.3">
      <c r="A89" s="10" t="s">
        <v>51</v>
      </c>
      <c r="B89" s="2"/>
      <c r="C89" s="2"/>
      <c r="D89" s="2">
        <v>30</v>
      </c>
      <c r="E89" s="2"/>
      <c r="F89" s="2"/>
      <c r="G89" s="2"/>
      <c r="H89" s="2"/>
      <c r="I89" s="2"/>
      <c r="J89" s="2"/>
      <c r="K89" s="2"/>
      <c r="L89" s="2"/>
      <c r="M89" s="2"/>
      <c r="N89" s="14">
        <v>30</v>
      </c>
    </row>
    <row r="90" spans="1:14" x14ac:dyDescent="0.3">
      <c r="A90" s="10" t="s">
        <v>57</v>
      </c>
      <c r="B90" s="2"/>
      <c r="C90" s="2"/>
      <c r="D90" s="2">
        <v>40</v>
      </c>
      <c r="E90" s="2"/>
      <c r="F90" s="2"/>
      <c r="G90" s="2"/>
      <c r="H90" s="2"/>
      <c r="I90" s="2">
        <v>12</v>
      </c>
      <c r="J90" s="2">
        <v>7</v>
      </c>
      <c r="K90" s="2"/>
      <c r="L90" s="2"/>
      <c r="M90" s="2">
        <v>25.5</v>
      </c>
      <c r="N90" s="14">
        <v>22</v>
      </c>
    </row>
    <row r="91" spans="1:14" x14ac:dyDescent="0.3">
      <c r="A91" s="10" t="s">
        <v>21</v>
      </c>
      <c r="B91" s="2">
        <v>27</v>
      </c>
      <c r="C91" s="2">
        <v>5</v>
      </c>
      <c r="D91" s="2">
        <v>10</v>
      </c>
      <c r="E91" s="2"/>
      <c r="F91" s="2">
        <v>25.5</v>
      </c>
      <c r="G91" s="2">
        <v>15.5</v>
      </c>
      <c r="H91" s="2">
        <v>30</v>
      </c>
      <c r="I91" s="2"/>
      <c r="J91" s="2"/>
      <c r="K91" s="2"/>
      <c r="L91" s="2">
        <v>33.5</v>
      </c>
      <c r="M91" s="2"/>
      <c r="N91" s="14">
        <v>21.75</v>
      </c>
    </row>
    <row r="92" spans="1:14" x14ac:dyDescent="0.3">
      <c r="A92" s="10" t="s">
        <v>43</v>
      </c>
      <c r="B92" s="2"/>
      <c r="C92" s="2"/>
      <c r="D92" s="2">
        <v>20</v>
      </c>
      <c r="E92" s="2"/>
      <c r="F92" s="2"/>
      <c r="G92" s="2"/>
      <c r="H92" s="2">
        <v>19</v>
      </c>
      <c r="I92" s="2"/>
      <c r="J92" s="2"/>
      <c r="K92" s="2"/>
      <c r="L92" s="2"/>
      <c r="M92" s="2"/>
      <c r="N92" s="14">
        <v>19.5</v>
      </c>
    </row>
    <row r="93" spans="1:14" x14ac:dyDescent="0.3">
      <c r="A93" s="10" t="s">
        <v>29</v>
      </c>
      <c r="B93" s="2">
        <v>11</v>
      </c>
      <c r="C93" s="2"/>
      <c r="D93" s="2"/>
      <c r="E93" s="2"/>
      <c r="F93" s="2"/>
      <c r="G93" s="2">
        <v>27</v>
      </c>
      <c r="H93" s="2"/>
      <c r="I93" s="2">
        <v>24</v>
      </c>
      <c r="J93" s="2">
        <v>19</v>
      </c>
      <c r="K93" s="2"/>
      <c r="L93" s="2"/>
      <c r="M93" s="2">
        <v>22</v>
      </c>
      <c r="N93" s="14">
        <v>20.625</v>
      </c>
    </row>
    <row r="94" spans="1:14" x14ac:dyDescent="0.3">
      <c r="A94" s="10" t="s">
        <v>26</v>
      </c>
      <c r="B94" s="2">
        <v>19</v>
      </c>
      <c r="C94" s="2"/>
      <c r="D94" s="2"/>
      <c r="E94" s="2"/>
      <c r="F94" s="2">
        <v>7</v>
      </c>
      <c r="G94" s="2">
        <v>5</v>
      </c>
      <c r="H94" s="2"/>
      <c r="I94" s="2">
        <v>28.333333333333332</v>
      </c>
      <c r="J94" s="2">
        <v>23</v>
      </c>
      <c r="K94" s="2">
        <v>15</v>
      </c>
      <c r="L94" s="2">
        <v>7</v>
      </c>
      <c r="M94" s="2">
        <v>16</v>
      </c>
      <c r="N94" s="14">
        <v>17.7</v>
      </c>
    </row>
    <row r="95" spans="1:14" x14ac:dyDescent="0.3">
      <c r="A95" s="10" t="s">
        <v>35</v>
      </c>
      <c r="B95" s="2"/>
      <c r="C95" s="2">
        <v>28</v>
      </c>
      <c r="D95" s="2">
        <v>18</v>
      </c>
      <c r="E95" s="2">
        <v>30</v>
      </c>
      <c r="F95" s="2">
        <v>32</v>
      </c>
      <c r="G95" s="2"/>
      <c r="H95" s="2">
        <v>25</v>
      </c>
      <c r="I95" s="2"/>
      <c r="J95" s="2">
        <v>22</v>
      </c>
      <c r="K95" s="2"/>
      <c r="L95" s="2">
        <v>29</v>
      </c>
      <c r="M95" s="2">
        <v>15</v>
      </c>
      <c r="N95" s="14">
        <v>22.818181818181817</v>
      </c>
    </row>
    <row r="96" spans="1:14" x14ac:dyDescent="0.3">
      <c r="A96" s="10" t="s">
        <v>39</v>
      </c>
      <c r="B96" s="2"/>
      <c r="C96" s="2">
        <v>21</v>
      </c>
      <c r="D96" s="2"/>
      <c r="E96" s="2">
        <v>33</v>
      </c>
      <c r="F96" s="2">
        <v>11</v>
      </c>
      <c r="G96" s="2"/>
      <c r="H96" s="2">
        <v>6</v>
      </c>
      <c r="I96" s="2">
        <v>29</v>
      </c>
      <c r="J96" s="2"/>
      <c r="K96" s="2">
        <v>25</v>
      </c>
      <c r="L96" s="2"/>
      <c r="M96" s="2"/>
      <c r="N96" s="14">
        <v>22.875</v>
      </c>
    </row>
    <row r="97" spans="1:14" ht="15" thickBot="1" x14ac:dyDescent="0.35">
      <c r="A97" s="11" t="s">
        <v>70</v>
      </c>
      <c r="B97" s="15">
        <v>16.181818181818183</v>
      </c>
      <c r="C97" s="15">
        <v>16.5</v>
      </c>
      <c r="D97" s="15">
        <v>19.399999999999999</v>
      </c>
      <c r="E97" s="15">
        <v>30.25</v>
      </c>
      <c r="F97" s="15">
        <v>21.833333333333332</v>
      </c>
      <c r="G97" s="15">
        <v>18</v>
      </c>
      <c r="H97" s="15">
        <v>21.625</v>
      </c>
      <c r="I97" s="15">
        <v>23.636363636363637</v>
      </c>
      <c r="J97" s="15">
        <v>18.25</v>
      </c>
      <c r="K97" s="15">
        <v>22.6</v>
      </c>
      <c r="L97" s="15">
        <v>25.818181818181817</v>
      </c>
      <c r="M97" s="15">
        <v>21.4</v>
      </c>
      <c r="N97" s="16">
        <v>21.19</v>
      </c>
    </row>
    <row r="98" spans="1:14" ht="15" thickTop="1" x14ac:dyDescent="0.3"/>
    <row r="100" spans="1:14" ht="32.4" x14ac:dyDescent="0.3">
      <c r="B100" s="65"/>
      <c r="C100" s="66"/>
      <c r="D100" s="66"/>
      <c r="E100" s="66"/>
      <c r="F100" s="66"/>
    </row>
  </sheetData>
  <mergeCells count="10">
    <mergeCell ref="A1:J2"/>
    <mergeCell ref="L3:T3"/>
    <mergeCell ref="L12:Y12"/>
    <mergeCell ref="J27:W28"/>
    <mergeCell ref="B100:F100"/>
    <mergeCell ref="A28:E28"/>
    <mergeCell ref="A53:I53"/>
    <mergeCell ref="A64:N64"/>
    <mergeCell ref="A78:N79"/>
    <mergeCell ref="A3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85C3-1E44-44D9-8BE5-5463374DA988}">
  <dimension ref="A1:J101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9" style="1" customWidth="1"/>
    <col min="2" max="2" width="30.5546875" customWidth="1"/>
    <col min="3" max="3" width="37.33203125" customWidth="1"/>
    <col min="4" max="6" width="33.88671875" customWidth="1"/>
    <col min="7" max="7" width="12.88671875" customWidth="1"/>
    <col min="8" max="8" width="18.21875" customWidth="1"/>
    <col min="9" max="9" width="16.44140625" customWidth="1"/>
  </cols>
  <sheetData>
    <row r="1" spans="1:10" x14ac:dyDescent="0.3">
      <c r="A1" s="38" t="s">
        <v>0</v>
      </c>
      <c r="B1" s="39" t="s">
        <v>1</v>
      </c>
      <c r="C1" s="39" t="s">
        <v>2</v>
      </c>
      <c r="D1" s="39" t="s">
        <v>3</v>
      </c>
      <c r="E1" s="39" t="s">
        <v>68</v>
      </c>
      <c r="F1" s="39" t="s">
        <v>59</v>
      </c>
      <c r="G1" s="39" t="s">
        <v>4</v>
      </c>
      <c r="H1" s="40" t="s">
        <v>5</v>
      </c>
      <c r="I1" s="39" t="s">
        <v>58</v>
      </c>
      <c r="J1" s="2"/>
    </row>
    <row r="2" spans="1:10" x14ac:dyDescent="0.3">
      <c r="A2" s="33">
        <v>1</v>
      </c>
      <c r="B2" s="34" t="s">
        <v>6</v>
      </c>
      <c r="C2" s="34" t="s">
        <v>7</v>
      </c>
      <c r="D2" s="34" t="s">
        <v>8</v>
      </c>
      <c r="E2" s="34">
        <v>9</v>
      </c>
      <c r="F2" s="35" t="s">
        <v>9</v>
      </c>
      <c r="G2" s="34" t="s">
        <v>10</v>
      </c>
      <c r="H2" s="36" t="s">
        <v>11</v>
      </c>
      <c r="I2" s="37">
        <f>2025 + IF(OR(G2="Surging",G2="Essential",G2="Critical"), 5, IF(OR(G2="Rising",G2="Growing",G2="Needed"), 3, IF(G2="Emerging", 2, 3)))</f>
        <v>2030</v>
      </c>
      <c r="J2" s="3"/>
    </row>
    <row r="3" spans="1:10" x14ac:dyDescent="0.3">
      <c r="A3" s="33">
        <v>2</v>
      </c>
      <c r="B3" s="34" t="s">
        <v>12</v>
      </c>
      <c r="C3" s="34" t="s">
        <v>13</v>
      </c>
      <c r="D3" s="34" t="s">
        <v>14</v>
      </c>
      <c r="E3" s="34">
        <v>26</v>
      </c>
      <c r="F3" s="35" t="s">
        <v>15</v>
      </c>
      <c r="G3" s="34" t="s">
        <v>16</v>
      </c>
      <c r="H3" s="36" t="s">
        <v>11</v>
      </c>
      <c r="I3" s="37">
        <f t="shared" ref="I3:I66" si="0">2025 + IF(OR(G3="Surging",G3="Essential",G3="Critical"), 5, IF(OR(G3="Rising",G3="Growing",G3="Needed"), 3, IF(G3="Emerging", 2, 3)))</f>
        <v>2028</v>
      </c>
      <c r="J3" s="3"/>
    </row>
    <row r="4" spans="1:10" x14ac:dyDescent="0.3">
      <c r="A4" s="33">
        <v>3</v>
      </c>
      <c r="B4" s="34" t="s">
        <v>65</v>
      </c>
      <c r="C4" s="34" t="s">
        <v>17</v>
      </c>
      <c r="D4" s="34" t="s">
        <v>18</v>
      </c>
      <c r="E4" s="34">
        <v>18</v>
      </c>
      <c r="F4" s="35" t="s">
        <v>60</v>
      </c>
      <c r="G4" s="34" t="s">
        <v>19</v>
      </c>
      <c r="H4" s="36" t="s">
        <v>11</v>
      </c>
      <c r="I4" s="37">
        <f t="shared" si="0"/>
        <v>2028</v>
      </c>
      <c r="J4" s="3"/>
    </row>
    <row r="5" spans="1:10" x14ac:dyDescent="0.3">
      <c r="A5" s="33">
        <v>4</v>
      </c>
      <c r="B5" s="34" t="s">
        <v>20</v>
      </c>
      <c r="C5" s="34" t="s">
        <v>21</v>
      </c>
      <c r="D5" s="34" t="s">
        <v>22</v>
      </c>
      <c r="E5" s="34">
        <v>10</v>
      </c>
      <c r="F5" s="35" t="s">
        <v>23</v>
      </c>
      <c r="G5" s="34" t="s">
        <v>24</v>
      </c>
      <c r="H5" s="36" t="s">
        <v>11</v>
      </c>
      <c r="I5" s="37">
        <f t="shared" si="0"/>
        <v>2030</v>
      </c>
      <c r="J5" s="3"/>
    </row>
    <row r="6" spans="1:10" x14ac:dyDescent="0.3">
      <c r="A6" s="33">
        <v>5</v>
      </c>
      <c r="B6" s="34" t="s">
        <v>25</v>
      </c>
      <c r="C6" s="34" t="s">
        <v>26</v>
      </c>
      <c r="D6" s="34" t="s">
        <v>22</v>
      </c>
      <c r="E6" s="34">
        <v>5</v>
      </c>
      <c r="F6" s="35" t="s">
        <v>27</v>
      </c>
      <c r="G6" s="34" t="s">
        <v>10</v>
      </c>
      <c r="H6" s="36" t="s">
        <v>28</v>
      </c>
      <c r="I6" s="37">
        <f t="shared" si="0"/>
        <v>2030</v>
      </c>
      <c r="J6" s="3"/>
    </row>
    <row r="7" spans="1:10" x14ac:dyDescent="0.3">
      <c r="A7" s="33">
        <v>6</v>
      </c>
      <c r="B7" s="34" t="s">
        <v>6</v>
      </c>
      <c r="C7" s="34" t="s">
        <v>26</v>
      </c>
      <c r="D7" s="34" t="s">
        <v>18</v>
      </c>
      <c r="E7" s="34">
        <v>19</v>
      </c>
      <c r="F7" s="35" t="s">
        <v>9</v>
      </c>
      <c r="G7" s="34" t="s">
        <v>10</v>
      </c>
      <c r="H7" s="36" t="s">
        <v>11</v>
      </c>
      <c r="I7" s="37">
        <f t="shared" si="0"/>
        <v>2030</v>
      </c>
      <c r="J7" s="3"/>
    </row>
    <row r="8" spans="1:10" x14ac:dyDescent="0.3">
      <c r="A8" s="33">
        <v>7</v>
      </c>
      <c r="B8" s="34" t="s">
        <v>64</v>
      </c>
      <c r="C8" s="34" t="s">
        <v>29</v>
      </c>
      <c r="D8" s="34" t="s">
        <v>30</v>
      </c>
      <c r="E8" s="34">
        <v>42</v>
      </c>
      <c r="F8" s="35" t="s">
        <v>31</v>
      </c>
      <c r="G8" s="34" t="s">
        <v>32</v>
      </c>
      <c r="H8" s="36" t="s">
        <v>11</v>
      </c>
      <c r="I8" s="37">
        <f t="shared" si="0"/>
        <v>2027</v>
      </c>
      <c r="J8" s="3"/>
    </row>
    <row r="9" spans="1:10" x14ac:dyDescent="0.3">
      <c r="A9" s="33">
        <v>8</v>
      </c>
      <c r="B9" s="34" t="s">
        <v>65</v>
      </c>
      <c r="C9" s="34" t="s">
        <v>33</v>
      </c>
      <c r="D9" s="34" t="s">
        <v>8</v>
      </c>
      <c r="E9" s="34">
        <v>16</v>
      </c>
      <c r="F9" s="35" t="s">
        <v>31</v>
      </c>
      <c r="G9" s="34" t="s">
        <v>19</v>
      </c>
      <c r="H9" s="36" t="s">
        <v>11</v>
      </c>
      <c r="I9" s="37">
        <f t="shared" si="0"/>
        <v>2028</v>
      </c>
      <c r="J9" s="3"/>
    </row>
    <row r="10" spans="1:10" x14ac:dyDescent="0.3">
      <c r="A10" s="33">
        <v>9</v>
      </c>
      <c r="B10" s="34" t="s">
        <v>12</v>
      </c>
      <c r="C10" s="34" t="s">
        <v>17</v>
      </c>
      <c r="D10" s="34" t="s">
        <v>14</v>
      </c>
      <c r="E10" s="34">
        <v>32</v>
      </c>
      <c r="F10" s="35" t="s">
        <v>34</v>
      </c>
      <c r="G10" s="34" t="s">
        <v>16</v>
      </c>
      <c r="H10" s="36" t="s">
        <v>11</v>
      </c>
      <c r="I10" s="37">
        <f t="shared" si="0"/>
        <v>2028</v>
      </c>
      <c r="J10" s="3"/>
    </row>
    <row r="11" spans="1:10" x14ac:dyDescent="0.3">
      <c r="A11" s="33">
        <v>10</v>
      </c>
      <c r="B11" s="34" t="s">
        <v>63</v>
      </c>
      <c r="C11" s="34" t="s">
        <v>35</v>
      </c>
      <c r="D11" s="34" t="s">
        <v>36</v>
      </c>
      <c r="E11" s="34">
        <v>29</v>
      </c>
      <c r="F11" s="35" t="s">
        <v>67</v>
      </c>
      <c r="G11" s="34" t="s">
        <v>24</v>
      </c>
      <c r="H11" s="36" t="s">
        <v>11</v>
      </c>
      <c r="I11" s="37">
        <f t="shared" si="0"/>
        <v>2030</v>
      </c>
      <c r="J11" s="3"/>
    </row>
    <row r="12" spans="1:10" x14ac:dyDescent="0.3">
      <c r="A12" s="33">
        <v>11</v>
      </c>
      <c r="B12" s="34" t="s">
        <v>37</v>
      </c>
      <c r="C12" s="34" t="s">
        <v>13</v>
      </c>
      <c r="D12" s="34" t="s">
        <v>38</v>
      </c>
      <c r="E12" s="34">
        <v>16</v>
      </c>
      <c r="F12" s="35" t="s">
        <v>23</v>
      </c>
      <c r="G12" s="34" t="s">
        <v>16</v>
      </c>
      <c r="H12" s="36" t="s">
        <v>11</v>
      </c>
      <c r="I12" s="37">
        <f t="shared" si="0"/>
        <v>2028</v>
      </c>
      <c r="J12" s="3"/>
    </row>
    <row r="13" spans="1:10" x14ac:dyDescent="0.3">
      <c r="A13" s="33">
        <v>12</v>
      </c>
      <c r="B13" s="34" t="s">
        <v>63</v>
      </c>
      <c r="C13" s="34" t="s">
        <v>17</v>
      </c>
      <c r="D13" s="34" t="s">
        <v>8</v>
      </c>
      <c r="E13" s="34">
        <v>30</v>
      </c>
      <c r="F13" s="35" t="s">
        <v>15</v>
      </c>
      <c r="G13" s="34" t="s">
        <v>24</v>
      </c>
      <c r="H13" s="36" t="s">
        <v>11</v>
      </c>
      <c r="I13" s="37">
        <f t="shared" si="0"/>
        <v>2030</v>
      </c>
      <c r="J13" s="3"/>
    </row>
    <row r="14" spans="1:10" x14ac:dyDescent="0.3">
      <c r="A14" s="33">
        <v>13</v>
      </c>
      <c r="B14" s="34" t="s">
        <v>25</v>
      </c>
      <c r="C14" s="34" t="s">
        <v>33</v>
      </c>
      <c r="D14" s="34" t="s">
        <v>22</v>
      </c>
      <c r="E14" s="34">
        <v>18</v>
      </c>
      <c r="F14" s="35" t="s">
        <v>27</v>
      </c>
      <c r="G14" s="34" t="s">
        <v>10</v>
      </c>
      <c r="H14" s="36" t="s">
        <v>28</v>
      </c>
      <c r="I14" s="37">
        <f t="shared" si="0"/>
        <v>2030</v>
      </c>
      <c r="J14" s="3"/>
    </row>
    <row r="15" spans="1:10" x14ac:dyDescent="0.3">
      <c r="A15" s="33">
        <v>14</v>
      </c>
      <c r="B15" s="34" t="s">
        <v>63</v>
      </c>
      <c r="C15" s="34" t="s">
        <v>39</v>
      </c>
      <c r="D15" s="34" t="s">
        <v>22</v>
      </c>
      <c r="E15" s="34">
        <v>19</v>
      </c>
      <c r="F15" s="35" t="s">
        <v>61</v>
      </c>
      <c r="G15" s="34" t="s">
        <v>24</v>
      </c>
      <c r="H15" s="36" t="s">
        <v>11</v>
      </c>
      <c r="I15" s="37">
        <f t="shared" si="0"/>
        <v>2030</v>
      </c>
      <c r="J15" s="3"/>
    </row>
    <row r="16" spans="1:10" x14ac:dyDescent="0.3">
      <c r="A16" s="33">
        <v>15</v>
      </c>
      <c r="B16" s="34" t="s">
        <v>63</v>
      </c>
      <c r="C16" s="34" t="s">
        <v>35</v>
      </c>
      <c r="D16" s="34" t="s">
        <v>14</v>
      </c>
      <c r="E16" s="34">
        <v>25</v>
      </c>
      <c r="F16" s="35" t="s">
        <v>34</v>
      </c>
      <c r="G16" s="34" t="s">
        <v>24</v>
      </c>
      <c r="H16" s="36" t="s">
        <v>11</v>
      </c>
      <c r="I16" s="37">
        <f t="shared" si="0"/>
        <v>2030</v>
      </c>
      <c r="J16" s="3"/>
    </row>
    <row r="17" spans="1:10" x14ac:dyDescent="0.3">
      <c r="A17" s="33">
        <v>16</v>
      </c>
      <c r="B17" s="34" t="s">
        <v>37</v>
      </c>
      <c r="C17" s="34" t="s">
        <v>39</v>
      </c>
      <c r="D17" s="34" t="s">
        <v>36</v>
      </c>
      <c r="E17" s="34">
        <v>29</v>
      </c>
      <c r="F17" s="35" t="s">
        <v>31</v>
      </c>
      <c r="G17" s="34" t="s">
        <v>16</v>
      </c>
      <c r="H17" s="36" t="s">
        <v>11</v>
      </c>
      <c r="I17" s="37">
        <f t="shared" si="0"/>
        <v>2028</v>
      </c>
      <c r="J17" s="3"/>
    </row>
    <row r="18" spans="1:10" x14ac:dyDescent="0.3">
      <c r="A18" s="33">
        <v>17</v>
      </c>
      <c r="B18" s="34" t="s">
        <v>40</v>
      </c>
      <c r="C18" s="34" t="s">
        <v>21</v>
      </c>
      <c r="D18" s="34" t="s">
        <v>8</v>
      </c>
      <c r="E18" s="34">
        <v>10</v>
      </c>
      <c r="F18" s="35" t="s">
        <v>27</v>
      </c>
      <c r="G18" s="34" t="s">
        <v>16</v>
      </c>
      <c r="H18" s="36" t="s">
        <v>41</v>
      </c>
      <c r="I18" s="37">
        <f t="shared" si="0"/>
        <v>2028</v>
      </c>
      <c r="J18" s="3"/>
    </row>
    <row r="19" spans="1:10" x14ac:dyDescent="0.3">
      <c r="A19" s="33">
        <v>18</v>
      </c>
      <c r="B19" s="34" t="s">
        <v>42</v>
      </c>
      <c r="C19" s="34" t="s">
        <v>43</v>
      </c>
      <c r="D19" s="34" t="s">
        <v>44</v>
      </c>
      <c r="E19" s="34">
        <v>20</v>
      </c>
      <c r="F19" s="35" t="s">
        <v>23</v>
      </c>
      <c r="G19" s="34" t="s">
        <v>32</v>
      </c>
      <c r="H19" s="36" t="s">
        <v>28</v>
      </c>
      <c r="I19" s="37">
        <f t="shared" si="0"/>
        <v>2027</v>
      </c>
      <c r="J19" s="3"/>
    </row>
    <row r="20" spans="1:10" x14ac:dyDescent="0.3">
      <c r="A20" s="33">
        <v>19</v>
      </c>
      <c r="B20" s="34" t="s">
        <v>65</v>
      </c>
      <c r="C20" s="34" t="s">
        <v>45</v>
      </c>
      <c r="D20" s="34" t="s">
        <v>38</v>
      </c>
      <c r="E20" s="34">
        <v>13</v>
      </c>
      <c r="F20" s="35" t="s">
        <v>34</v>
      </c>
      <c r="G20" s="34" t="s">
        <v>19</v>
      </c>
      <c r="H20" s="36" t="s">
        <v>28</v>
      </c>
      <c r="I20" s="37">
        <f t="shared" si="0"/>
        <v>2028</v>
      </c>
      <c r="J20" s="3"/>
    </row>
    <row r="21" spans="1:10" x14ac:dyDescent="0.3">
      <c r="A21" s="33">
        <v>20</v>
      </c>
      <c r="B21" s="34" t="s">
        <v>37</v>
      </c>
      <c r="C21" s="34" t="s">
        <v>13</v>
      </c>
      <c r="D21" s="34" t="s">
        <v>22</v>
      </c>
      <c r="E21" s="34">
        <v>35</v>
      </c>
      <c r="F21" s="35" t="s">
        <v>15</v>
      </c>
      <c r="G21" s="34" t="s">
        <v>16</v>
      </c>
      <c r="H21" s="36" t="s">
        <v>11</v>
      </c>
      <c r="I21" s="37">
        <f t="shared" si="0"/>
        <v>2028</v>
      </c>
      <c r="J21" s="3"/>
    </row>
    <row r="22" spans="1:10" x14ac:dyDescent="0.3">
      <c r="A22" s="33">
        <v>21</v>
      </c>
      <c r="B22" s="34" t="s">
        <v>40</v>
      </c>
      <c r="C22" s="34" t="s">
        <v>21</v>
      </c>
      <c r="D22" s="34" t="s">
        <v>30</v>
      </c>
      <c r="E22" s="34">
        <v>5</v>
      </c>
      <c r="F22" s="35" t="s">
        <v>46</v>
      </c>
      <c r="G22" s="34" t="s">
        <v>16</v>
      </c>
      <c r="H22" s="36" t="s">
        <v>11</v>
      </c>
      <c r="I22" s="37">
        <f t="shared" si="0"/>
        <v>2028</v>
      </c>
      <c r="J22" s="3"/>
    </row>
    <row r="23" spans="1:10" x14ac:dyDescent="0.3">
      <c r="A23" s="33">
        <v>22</v>
      </c>
      <c r="B23" s="34" t="s">
        <v>47</v>
      </c>
      <c r="C23" s="34" t="s">
        <v>17</v>
      </c>
      <c r="D23" s="34" t="s">
        <v>22</v>
      </c>
      <c r="E23" s="34">
        <v>9</v>
      </c>
      <c r="F23" s="35" t="s">
        <v>67</v>
      </c>
      <c r="G23" s="34" t="s">
        <v>48</v>
      </c>
      <c r="H23" s="36" t="s">
        <v>28</v>
      </c>
      <c r="I23" s="37">
        <f t="shared" si="0"/>
        <v>2030</v>
      </c>
      <c r="J23" s="3"/>
    </row>
    <row r="24" spans="1:10" x14ac:dyDescent="0.3">
      <c r="A24" s="33">
        <v>23</v>
      </c>
      <c r="B24" s="34" t="s">
        <v>42</v>
      </c>
      <c r="C24" s="34" t="s">
        <v>21</v>
      </c>
      <c r="D24" s="34" t="s">
        <v>38</v>
      </c>
      <c r="E24" s="34">
        <v>28</v>
      </c>
      <c r="F24" s="35" t="s">
        <v>34</v>
      </c>
      <c r="G24" s="34" t="s">
        <v>32</v>
      </c>
      <c r="H24" s="36" t="s">
        <v>41</v>
      </c>
      <c r="I24" s="37">
        <f t="shared" si="0"/>
        <v>2027</v>
      </c>
      <c r="J24" s="3"/>
    </row>
    <row r="25" spans="1:10" x14ac:dyDescent="0.3">
      <c r="A25" s="33">
        <v>24</v>
      </c>
      <c r="B25" s="34" t="s">
        <v>42</v>
      </c>
      <c r="C25" s="34" t="s">
        <v>45</v>
      </c>
      <c r="D25" s="34" t="s">
        <v>8</v>
      </c>
      <c r="E25" s="34">
        <v>32</v>
      </c>
      <c r="F25" s="35" t="s">
        <v>31</v>
      </c>
      <c r="G25" s="34" t="s">
        <v>32</v>
      </c>
      <c r="H25" s="36" t="s">
        <v>28</v>
      </c>
      <c r="I25" s="37">
        <f t="shared" si="0"/>
        <v>2027</v>
      </c>
      <c r="J25" s="3"/>
    </row>
    <row r="26" spans="1:10" x14ac:dyDescent="0.3">
      <c r="A26" s="33">
        <v>25</v>
      </c>
      <c r="B26" s="34" t="s">
        <v>12</v>
      </c>
      <c r="C26" s="34" t="s">
        <v>13</v>
      </c>
      <c r="D26" s="34" t="s">
        <v>18</v>
      </c>
      <c r="E26" s="34">
        <v>30</v>
      </c>
      <c r="F26" s="35" t="s">
        <v>67</v>
      </c>
      <c r="G26" s="34" t="s">
        <v>16</v>
      </c>
      <c r="H26" s="36" t="s">
        <v>28</v>
      </c>
      <c r="I26" s="37">
        <f t="shared" si="0"/>
        <v>2028</v>
      </c>
      <c r="J26" s="3"/>
    </row>
    <row r="27" spans="1:10" x14ac:dyDescent="0.3">
      <c r="A27" s="33">
        <v>26</v>
      </c>
      <c r="B27" s="34" t="s">
        <v>47</v>
      </c>
      <c r="C27" s="34" t="s">
        <v>21</v>
      </c>
      <c r="D27" s="34" t="s">
        <v>44</v>
      </c>
      <c r="E27" s="34">
        <v>10</v>
      </c>
      <c r="F27" s="35" t="s">
        <v>23</v>
      </c>
      <c r="G27" s="34" t="s">
        <v>48</v>
      </c>
      <c r="H27" s="36" t="s">
        <v>11</v>
      </c>
      <c r="I27" s="37">
        <f t="shared" si="0"/>
        <v>2030</v>
      </c>
      <c r="J27" s="3"/>
    </row>
    <row r="28" spans="1:10" x14ac:dyDescent="0.3">
      <c r="A28" s="33">
        <v>27</v>
      </c>
      <c r="B28" s="34" t="s">
        <v>64</v>
      </c>
      <c r="C28" s="34" t="s">
        <v>49</v>
      </c>
      <c r="D28" s="34" t="s">
        <v>30</v>
      </c>
      <c r="E28" s="34">
        <v>26</v>
      </c>
      <c r="F28" s="35" t="s">
        <v>62</v>
      </c>
      <c r="G28" s="34" t="s">
        <v>32</v>
      </c>
      <c r="H28" s="36" t="s">
        <v>11</v>
      </c>
      <c r="I28" s="37">
        <f t="shared" si="0"/>
        <v>2027</v>
      </c>
      <c r="J28" s="3"/>
    </row>
    <row r="29" spans="1:10" x14ac:dyDescent="0.3">
      <c r="A29" s="33">
        <v>28</v>
      </c>
      <c r="B29" s="34" t="s">
        <v>50</v>
      </c>
      <c r="C29" s="34" t="s">
        <v>45</v>
      </c>
      <c r="D29" s="34" t="s">
        <v>18</v>
      </c>
      <c r="E29" s="34">
        <v>38</v>
      </c>
      <c r="F29" s="35" t="s">
        <v>67</v>
      </c>
      <c r="G29" s="34" t="s">
        <v>24</v>
      </c>
      <c r="H29" s="36" t="s">
        <v>11</v>
      </c>
      <c r="I29" s="37">
        <f t="shared" si="0"/>
        <v>2030</v>
      </c>
      <c r="J29" s="3"/>
    </row>
    <row r="30" spans="1:10" x14ac:dyDescent="0.3">
      <c r="A30" s="33">
        <v>29</v>
      </c>
      <c r="B30" s="34" t="s">
        <v>63</v>
      </c>
      <c r="C30" s="34" t="s">
        <v>51</v>
      </c>
      <c r="D30" s="34" t="s">
        <v>38</v>
      </c>
      <c r="E30" s="34">
        <v>30</v>
      </c>
      <c r="F30" s="35" t="s">
        <v>23</v>
      </c>
      <c r="G30" s="34" t="s">
        <v>24</v>
      </c>
      <c r="H30" s="36" t="s">
        <v>11</v>
      </c>
      <c r="I30" s="37">
        <f t="shared" si="0"/>
        <v>2030</v>
      </c>
      <c r="J30" s="3"/>
    </row>
    <row r="31" spans="1:10" x14ac:dyDescent="0.3">
      <c r="A31" s="33">
        <v>30</v>
      </c>
      <c r="B31" s="34" t="s">
        <v>37</v>
      </c>
      <c r="C31" s="34" t="s">
        <v>35</v>
      </c>
      <c r="D31" s="34" t="s">
        <v>30</v>
      </c>
      <c r="E31" s="34">
        <v>32</v>
      </c>
      <c r="F31" s="35" t="s">
        <v>15</v>
      </c>
      <c r="G31" s="34" t="s">
        <v>16</v>
      </c>
      <c r="H31" s="36" t="s">
        <v>11</v>
      </c>
      <c r="I31" s="37">
        <f t="shared" si="0"/>
        <v>2028</v>
      </c>
      <c r="J31" s="3"/>
    </row>
    <row r="32" spans="1:10" x14ac:dyDescent="0.3">
      <c r="A32" s="33">
        <v>31</v>
      </c>
      <c r="B32" s="34" t="s">
        <v>65</v>
      </c>
      <c r="C32" s="34" t="s">
        <v>39</v>
      </c>
      <c r="D32" s="34" t="s">
        <v>8</v>
      </c>
      <c r="E32" s="34">
        <v>11</v>
      </c>
      <c r="F32" s="35" t="s">
        <v>15</v>
      </c>
      <c r="G32" s="34" t="s">
        <v>19</v>
      </c>
      <c r="H32" s="36" t="s">
        <v>11</v>
      </c>
      <c r="I32" s="37">
        <f t="shared" si="0"/>
        <v>2028</v>
      </c>
      <c r="J32" s="3"/>
    </row>
    <row r="33" spans="1:10" x14ac:dyDescent="0.3">
      <c r="A33" s="33">
        <v>32</v>
      </c>
      <c r="B33" s="34" t="s">
        <v>40</v>
      </c>
      <c r="C33" s="34" t="s">
        <v>29</v>
      </c>
      <c r="D33" s="34" t="s">
        <v>18</v>
      </c>
      <c r="E33" s="34">
        <v>6</v>
      </c>
      <c r="F33" s="35" t="s">
        <v>31</v>
      </c>
      <c r="G33" s="34" t="s">
        <v>16</v>
      </c>
      <c r="H33" s="36" t="s">
        <v>28</v>
      </c>
      <c r="I33" s="37">
        <f t="shared" si="0"/>
        <v>2028</v>
      </c>
      <c r="J33" s="3"/>
    </row>
    <row r="34" spans="1:10" x14ac:dyDescent="0.3">
      <c r="A34" s="33">
        <v>33</v>
      </c>
      <c r="B34" s="34" t="s">
        <v>64</v>
      </c>
      <c r="C34" s="34" t="s">
        <v>13</v>
      </c>
      <c r="D34" s="34" t="s">
        <v>8</v>
      </c>
      <c r="E34" s="34">
        <v>24</v>
      </c>
      <c r="F34" s="35" t="s">
        <v>23</v>
      </c>
      <c r="G34" s="34" t="s">
        <v>32</v>
      </c>
      <c r="H34" s="36" t="s">
        <v>28</v>
      </c>
      <c r="I34" s="37">
        <f t="shared" si="0"/>
        <v>2027</v>
      </c>
      <c r="J34" s="3"/>
    </row>
    <row r="35" spans="1:10" x14ac:dyDescent="0.3">
      <c r="A35" s="33">
        <v>34</v>
      </c>
      <c r="B35" s="34" t="s">
        <v>52</v>
      </c>
      <c r="C35" s="34" t="s">
        <v>26</v>
      </c>
      <c r="D35" s="34" t="s">
        <v>14</v>
      </c>
      <c r="E35" s="34">
        <v>7</v>
      </c>
      <c r="F35" s="35" t="s">
        <v>15</v>
      </c>
      <c r="G35" s="34" t="s">
        <v>19</v>
      </c>
      <c r="H35" s="36" t="s">
        <v>11</v>
      </c>
      <c r="I35" s="37">
        <f t="shared" si="0"/>
        <v>2028</v>
      </c>
      <c r="J35" s="3"/>
    </row>
    <row r="36" spans="1:10" x14ac:dyDescent="0.3">
      <c r="A36" s="33">
        <v>35</v>
      </c>
      <c r="B36" s="34" t="s">
        <v>37</v>
      </c>
      <c r="C36" s="34" t="s">
        <v>26</v>
      </c>
      <c r="D36" s="34" t="s">
        <v>22</v>
      </c>
      <c r="E36" s="34">
        <v>35</v>
      </c>
      <c r="F36" s="35" t="s">
        <v>31</v>
      </c>
      <c r="G36" s="34" t="s">
        <v>16</v>
      </c>
      <c r="H36" s="36" t="s">
        <v>11</v>
      </c>
      <c r="I36" s="37">
        <f t="shared" si="0"/>
        <v>2028</v>
      </c>
      <c r="J36" s="3"/>
    </row>
    <row r="37" spans="1:10" x14ac:dyDescent="0.3">
      <c r="A37" s="33">
        <v>36</v>
      </c>
      <c r="B37" s="34" t="s">
        <v>40</v>
      </c>
      <c r="C37" s="34" t="s">
        <v>26</v>
      </c>
      <c r="D37" s="34" t="s">
        <v>30</v>
      </c>
      <c r="E37" s="34">
        <v>7</v>
      </c>
      <c r="F37" s="35" t="s">
        <v>67</v>
      </c>
      <c r="G37" s="34" t="s">
        <v>16</v>
      </c>
      <c r="H37" s="36" t="s">
        <v>28</v>
      </c>
      <c r="I37" s="37">
        <f t="shared" si="0"/>
        <v>2028</v>
      </c>
      <c r="J37" s="3"/>
    </row>
    <row r="38" spans="1:10" x14ac:dyDescent="0.3">
      <c r="A38" s="33">
        <v>37</v>
      </c>
      <c r="B38" s="34" t="s">
        <v>40</v>
      </c>
      <c r="C38" s="34" t="s">
        <v>7</v>
      </c>
      <c r="D38" s="34" t="s">
        <v>14</v>
      </c>
      <c r="E38" s="34">
        <v>12</v>
      </c>
      <c r="F38" s="35" t="s">
        <v>46</v>
      </c>
      <c r="G38" s="34" t="s">
        <v>16</v>
      </c>
      <c r="H38" s="36" t="s">
        <v>11</v>
      </c>
      <c r="I38" s="37">
        <f t="shared" si="0"/>
        <v>2028</v>
      </c>
      <c r="J38" s="3"/>
    </row>
    <row r="39" spans="1:10" x14ac:dyDescent="0.3">
      <c r="A39" s="33">
        <v>38</v>
      </c>
      <c r="B39" s="34" t="s">
        <v>42</v>
      </c>
      <c r="C39" s="34" t="s">
        <v>21</v>
      </c>
      <c r="D39" s="34" t="s">
        <v>30</v>
      </c>
      <c r="E39" s="34">
        <v>27</v>
      </c>
      <c r="F39" s="35" t="s">
        <v>9</v>
      </c>
      <c r="G39" s="34" t="s">
        <v>32</v>
      </c>
      <c r="H39" s="36" t="s">
        <v>11</v>
      </c>
      <c r="I39" s="37">
        <f t="shared" si="0"/>
        <v>2027</v>
      </c>
      <c r="J39" s="3"/>
    </row>
    <row r="40" spans="1:10" x14ac:dyDescent="0.3">
      <c r="A40" s="33">
        <v>39</v>
      </c>
      <c r="B40" s="34" t="s">
        <v>42</v>
      </c>
      <c r="C40" s="34" t="s">
        <v>17</v>
      </c>
      <c r="D40" s="34" t="s">
        <v>38</v>
      </c>
      <c r="E40" s="34">
        <v>20</v>
      </c>
      <c r="F40" s="35" t="s">
        <v>62</v>
      </c>
      <c r="G40" s="34" t="s">
        <v>32</v>
      </c>
      <c r="H40" s="36" t="s">
        <v>41</v>
      </c>
      <c r="I40" s="37">
        <f t="shared" si="0"/>
        <v>2027</v>
      </c>
      <c r="J40" s="3"/>
    </row>
    <row r="41" spans="1:10" x14ac:dyDescent="0.3">
      <c r="A41" s="33">
        <v>40</v>
      </c>
      <c r="B41" s="34" t="s">
        <v>52</v>
      </c>
      <c r="C41" s="34" t="s">
        <v>49</v>
      </c>
      <c r="D41" s="34" t="s">
        <v>44</v>
      </c>
      <c r="E41" s="34">
        <v>13</v>
      </c>
      <c r="F41" s="35" t="s">
        <v>31</v>
      </c>
      <c r="G41" s="34" t="s">
        <v>19</v>
      </c>
      <c r="H41" s="36" t="s">
        <v>11</v>
      </c>
      <c r="I41" s="37">
        <f t="shared" si="0"/>
        <v>2028</v>
      </c>
      <c r="J41" s="3"/>
    </row>
    <row r="42" spans="1:10" x14ac:dyDescent="0.3">
      <c r="A42" s="33">
        <v>41</v>
      </c>
      <c r="B42" s="34" t="s">
        <v>6</v>
      </c>
      <c r="C42" s="34" t="s">
        <v>26</v>
      </c>
      <c r="D42" s="34" t="s">
        <v>44</v>
      </c>
      <c r="E42" s="34">
        <v>15</v>
      </c>
      <c r="F42" s="35" t="s">
        <v>61</v>
      </c>
      <c r="G42" s="34" t="s">
        <v>10</v>
      </c>
      <c r="H42" s="36" t="s">
        <v>11</v>
      </c>
      <c r="I42" s="37">
        <f t="shared" si="0"/>
        <v>2030</v>
      </c>
      <c r="J42" s="3"/>
    </row>
    <row r="43" spans="1:10" x14ac:dyDescent="0.3">
      <c r="A43" s="33">
        <v>42</v>
      </c>
      <c r="B43" s="34" t="s">
        <v>53</v>
      </c>
      <c r="C43" s="34" t="s">
        <v>21</v>
      </c>
      <c r="D43" s="34" t="s">
        <v>22</v>
      </c>
      <c r="E43" s="34">
        <v>21</v>
      </c>
      <c r="F43" s="35" t="s">
        <v>27</v>
      </c>
      <c r="G43" s="34" t="s">
        <v>10</v>
      </c>
      <c r="H43" s="36" t="s">
        <v>11</v>
      </c>
      <c r="I43" s="37">
        <f t="shared" si="0"/>
        <v>2030</v>
      </c>
      <c r="J43" s="3"/>
    </row>
    <row r="44" spans="1:10" x14ac:dyDescent="0.3">
      <c r="A44" s="33">
        <v>43</v>
      </c>
      <c r="B44" s="34" t="s">
        <v>37</v>
      </c>
      <c r="C44" s="34" t="s">
        <v>39</v>
      </c>
      <c r="D44" s="34" t="s">
        <v>36</v>
      </c>
      <c r="E44" s="34">
        <v>27</v>
      </c>
      <c r="F44" s="35" t="s">
        <v>54</v>
      </c>
      <c r="G44" s="34" t="s">
        <v>16</v>
      </c>
      <c r="H44" s="36" t="s">
        <v>11</v>
      </c>
      <c r="I44" s="37">
        <f t="shared" si="0"/>
        <v>2028</v>
      </c>
      <c r="J44" s="3"/>
    </row>
    <row r="45" spans="1:10" x14ac:dyDescent="0.3">
      <c r="A45" s="33">
        <v>44</v>
      </c>
      <c r="B45" s="34" t="s">
        <v>42</v>
      </c>
      <c r="C45" s="34" t="s">
        <v>17</v>
      </c>
      <c r="D45" s="34" t="s">
        <v>22</v>
      </c>
      <c r="E45" s="34">
        <v>32</v>
      </c>
      <c r="F45" s="35" t="s">
        <v>9</v>
      </c>
      <c r="G45" s="34" t="s">
        <v>32</v>
      </c>
      <c r="H45" s="36" t="s">
        <v>28</v>
      </c>
      <c r="I45" s="37">
        <f t="shared" si="0"/>
        <v>2027</v>
      </c>
      <c r="J45" s="3"/>
    </row>
    <row r="46" spans="1:10" x14ac:dyDescent="0.3">
      <c r="A46" s="33">
        <v>45</v>
      </c>
      <c r="B46" s="34" t="s">
        <v>63</v>
      </c>
      <c r="C46" s="34" t="s">
        <v>7</v>
      </c>
      <c r="D46" s="34" t="s">
        <v>22</v>
      </c>
      <c r="E46" s="34">
        <v>28</v>
      </c>
      <c r="F46" s="35" t="s">
        <v>67</v>
      </c>
      <c r="G46" s="34" t="s">
        <v>24</v>
      </c>
      <c r="H46" s="36" t="s">
        <v>11</v>
      </c>
      <c r="I46" s="37">
        <f t="shared" si="0"/>
        <v>2030</v>
      </c>
      <c r="J46" s="3"/>
    </row>
    <row r="47" spans="1:10" x14ac:dyDescent="0.3">
      <c r="A47" s="33">
        <v>46</v>
      </c>
      <c r="B47" s="34" t="s">
        <v>12</v>
      </c>
      <c r="C47" s="34" t="s">
        <v>17</v>
      </c>
      <c r="D47" s="34" t="s">
        <v>30</v>
      </c>
      <c r="E47" s="34">
        <v>22</v>
      </c>
      <c r="F47" s="35" t="s">
        <v>9</v>
      </c>
      <c r="G47" s="34" t="s">
        <v>16</v>
      </c>
      <c r="H47" s="36" t="s">
        <v>11</v>
      </c>
      <c r="I47" s="37">
        <f t="shared" si="0"/>
        <v>2028</v>
      </c>
      <c r="J47" s="3"/>
    </row>
    <row r="48" spans="1:10" x14ac:dyDescent="0.3">
      <c r="A48" s="33">
        <v>47</v>
      </c>
      <c r="B48" s="34" t="s">
        <v>63</v>
      </c>
      <c r="C48" s="34" t="s">
        <v>35</v>
      </c>
      <c r="D48" s="34" t="s">
        <v>36</v>
      </c>
      <c r="E48" s="34">
        <v>19</v>
      </c>
      <c r="F48" s="35" t="s">
        <v>62</v>
      </c>
      <c r="G48" s="34" t="s">
        <v>24</v>
      </c>
      <c r="H48" s="36" t="s">
        <v>11</v>
      </c>
      <c r="I48" s="37">
        <f t="shared" si="0"/>
        <v>2030</v>
      </c>
      <c r="J48" s="3"/>
    </row>
    <row r="49" spans="1:10" x14ac:dyDescent="0.3">
      <c r="A49" s="33">
        <v>48</v>
      </c>
      <c r="B49" s="34" t="s">
        <v>53</v>
      </c>
      <c r="C49" s="34" t="s">
        <v>29</v>
      </c>
      <c r="D49" s="34" t="s">
        <v>38</v>
      </c>
      <c r="E49" s="34">
        <v>15</v>
      </c>
      <c r="F49" s="35" t="s">
        <v>9</v>
      </c>
      <c r="G49" s="34" t="s">
        <v>10</v>
      </c>
      <c r="H49" s="36" t="s">
        <v>11</v>
      </c>
      <c r="I49" s="37">
        <f t="shared" si="0"/>
        <v>2030</v>
      </c>
      <c r="J49" s="3"/>
    </row>
    <row r="50" spans="1:10" x14ac:dyDescent="0.3">
      <c r="A50" s="33">
        <v>49</v>
      </c>
      <c r="B50" s="34" t="s">
        <v>53</v>
      </c>
      <c r="C50" s="34" t="s">
        <v>13</v>
      </c>
      <c r="D50" s="34" t="s">
        <v>38</v>
      </c>
      <c r="E50" s="34">
        <v>12</v>
      </c>
      <c r="F50" s="35" t="s">
        <v>9</v>
      </c>
      <c r="G50" s="34" t="s">
        <v>10</v>
      </c>
      <c r="H50" s="36" t="s">
        <v>11</v>
      </c>
      <c r="I50" s="37">
        <f t="shared" si="0"/>
        <v>2030</v>
      </c>
      <c r="J50" s="3"/>
    </row>
    <row r="51" spans="1:10" x14ac:dyDescent="0.3">
      <c r="A51" s="33">
        <v>50</v>
      </c>
      <c r="B51" s="34" t="s">
        <v>52</v>
      </c>
      <c r="C51" s="34" t="s">
        <v>49</v>
      </c>
      <c r="D51" s="34" t="s">
        <v>18</v>
      </c>
      <c r="E51" s="34">
        <v>12</v>
      </c>
      <c r="F51" s="35" t="s">
        <v>9</v>
      </c>
      <c r="G51" s="34" t="s">
        <v>19</v>
      </c>
      <c r="H51" s="36" t="s">
        <v>11</v>
      </c>
      <c r="I51" s="37">
        <f t="shared" si="0"/>
        <v>2028</v>
      </c>
      <c r="J51" s="3"/>
    </row>
    <row r="52" spans="1:10" x14ac:dyDescent="0.3">
      <c r="A52" s="33">
        <v>51</v>
      </c>
      <c r="B52" s="34" t="s">
        <v>63</v>
      </c>
      <c r="C52" s="34" t="s">
        <v>39</v>
      </c>
      <c r="D52" s="34" t="s">
        <v>18</v>
      </c>
      <c r="E52" s="34">
        <v>21</v>
      </c>
      <c r="F52" s="35" t="s">
        <v>46</v>
      </c>
      <c r="G52" s="34" t="s">
        <v>24</v>
      </c>
      <c r="H52" s="36" t="s">
        <v>11</v>
      </c>
      <c r="I52" s="37">
        <f t="shared" si="0"/>
        <v>2030</v>
      </c>
      <c r="J52" s="3"/>
    </row>
    <row r="53" spans="1:10" x14ac:dyDescent="0.3">
      <c r="A53" s="33">
        <v>52</v>
      </c>
      <c r="B53" s="34" t="s">
        <v>47</v>
      </c>
      <c r="C53" s="34" t="s">
        <v>55</v>
      </c>
      <c r="D53" s="34" t="s">
        <v>30</v>
      </c>
      <c r="E53" s="34">
        <v>11</v>
      </c>
      <c r="F53" s="35" t="s">
        <v>15</v>
      </c>
      <c r="G53" s="34" t="s">
        <v>48</v>
      </c>
      <c r="H53" s="36" t="s">
        <v>11</v>
      </c>
      <c r="I53" s="37">
        <f t="shared" si="0"/>
        <v>2030</v>
      </c>
      <c r="J53" s="3"/>
    </row>
    <row r="54" spans="1:10" x14ac:dyDescent="0.3">
      <c r="A54" s="33">
        <v>53</v>
      </c>
      <c r="B54" s="34" t="s">
        <v>6</v>
      </c>
      <c r="C54" s="34" t="s">
        <v>17</v>
      </c>
      <c r="D54" s="34" t="s">
        <v>30</v>
      </c>
      <c r="E54" s="34">
        <v>18</v>
      </c>
      <c r="F54" s="35" t="s">
        <v>34</v>
      </c>
      <c r="G54" s="34" t="s">
        <v>10</v>
      </c>
      <c r="H54" s="36" t="s">
        <v>11</v>
      </c>
      <c r="I54" s="37">
        <f t="shared" si="0"/>
        <v>2030</v>
      </c>
      <c r="J54" s="3"/>
    </row>
    <row r="55" spans="1:10" x14ac:dyDescent="0.3">
      <c r="A55" s="33">
        <v>54</v>
      </c>
      <c r="B55" s="34" t="s">
        <v>65</v>
      </c>
      <c r="C55" s="34" t="s">
        <v>49</v>
      </c>
      <c r="D55" s="34" t="s">
        <v>14</v>
      </c>
      <c r="E55" s="34">
        <v>15</v>
      </c>
      <c r="F55" s="35" t="s">
        <v>9</v>
      </c>
      <c r="G55" s="34" t="s">
        <v>19</v>
      </c>
      <c r="H55" s="36" t="s">
        <v>11</v>
      </c>
      <c r="I55" s="37">
        <f t="shared" si="0"/>
        <v>2028</v>
      </c>
      <c r="J55" s="3"/>
    </row>
    <row r="56" spans="1:10" x14ac:dyDescent="0.3">
      <c r="A56" s="33">
        <v>55</v>
      </c>
      <c r="B56" s="34" t="s">
        <v>12</v>
      </c>
      <c r="C56" s="34" t="s">
        <v>26</v>
      </c>
      <c r="D56" s="34" t="s">
        <v>38</v>
      </c>
      <c r="E56" s="34">
        <v>28</v>
      </c>
      <c r="F56" s="35" t="s">
        <v>31</v>
      </c>
      <c r="G56" s="34" t="s">
        <v>16</v>
      </c>
      <c r="H56" s="36" t="s">
        <v>11</v>
      </c>
      <c r="I56" s="37">
        <f t="shared" si="0"/>
        <v>2028</v>
      </c>
      <c r="J56" s="3"/>
    </row>
    <row r="57" spans="1:10" x14ac:dyDescent="0.3">
      <c r="A57" s="33">
        <v>56</v>
      </c>
      <c r="B57" s="34" t="s">
        <v>47</v>
      </c>
      <c r="C57" s="34" t="s">
        <v>29</v>
      </c>
      <c r="D57" s="34" t="s">
        <v>38</v>
      </c>
      <c r="E57" s="34">
        <v>7</v>
      </c>
      <c r="F57" s="35" t="s">
        <v>9</v>
      </c>
      <c r="G57" s="34" t="s">
        <v>48</v>
      </c>
      <c r="H57" s="36" t="s">
        <v>11</v>
      </c>
      <c r="I57" s="37">
        <f t="shared" si="0"/>
        <v>2030</v>
      </c>
      <c r="J57" s="3"/>
    </row>
    <row r="58" spans="1:10" x14ac:dyDescent="0.3">
      <c r="A58" s="33">
        <v>57</v>
      </c>
      <c r="B58" s="34" t="s">
        <v>66</v>
      </c>
      <c r="C58" s="34" t="s">
        <v>55</v>
      </c>
      <c r="D58" s="34" t="s">
        <v>14</v>
      </c>
      <c r="E58" s="34">
        <v>17</v>
      </c>
      <c r="F58" s="35" t="s">
        <v>60</v>
      </c>
      <c r="G58" s="34" t="s">
        <v>56</v>
      </c>
      <c r="H58" s="36" t="s">
        <v>11</v>
      </c>
      <c r="I58" s="37">
        <f t="shared" si="0"/>
        <v>2028</v>
      </c>
      <c r="J58" s="3"/>
    </row>
    <row r="59" spans="1:10" x14ac:dyDescent="0.3">
      <c r="A59" s="33">
        <v>58</v>
      </c>
      <c r="B59" s="34" t="s">
        <v>6</v>
      </c>
      <c r="C59" s="34" t="s">
        <v>35</v>
      </c>
      <c r="D59" s="34" t="s">
        <v>30</v>
      </c>
      <c r="E59" s="34">
        <v>16</v>
      </c>
      <c r="F59" s="35" t="s">
        <v>62</v>
      </c>
      <c r="G59" s="34" t="s">
        <v>10</v>
      </c>
      <c r="H59" s="36" t="s">
        <v>11</v>
      </c>
      <c r="I59" s="37">
        <f t="shared" si="0"/>
        <v>2030</v>
      </c>
      <c r="J59" s="3"/>
    </row>
    <row r="60" spans="1:10" x14ac:dyDescent="0.3">
      <c r="A60" s="33">
        <v>59</v>
      </c>
      <c r="B60" s="34" t="s">
        <v>42</v>
      </c>
      <c r="C60" s="34" t="s">
        <v>45</v>
      </c>
      <c r="D60" s="34" t="s">
        <v>18</v>
      </c>
      <c r="E60" s="34">
        <v>25</v>
      </c>
      <c r="F60" s="35" t="s">
        <v>54</v>
      </c>
      <c r="G60" s="34" t="s">
        <v>32</v>
      </c>
      <c r="H60" s="36" t="s">
        <v>41</v>
      </c>
      <c r="I60" s="37">
        <f t="shared" si="0"/>
        <v>2027</v>
      </c>
      <c r="J60" s="3"/>
    </row>
    <row r="61" spans="1:10" x14ac:dyDescent="0.3">
      <c r="A61" s="33">
        <v>60</v>
      </c>
      <c r="B61" s="34" t="s">
        <v>64</v>
      </c>
      <c r="C61" s="34" t="s">
        <v>35</v>
      </c>
      <c r="D61" s="34" t="s">
        <v>18</v>
      </c>
      <c r="E61" s="34">
        <v>30</v>
      </c>
      <c r="F61" s="35" t="s">
        <v>60</v>
      </c>
      <c r="G61" s="34" t="s">
        <v>32</v>
      </c>
      <c r="H61" s="36" t="s">
        <v>11</v>
      </c>
      <c r="I61" s="37">
        <f t="shared" si="0"/>
        <v>2027</v>
      </c>
      <c r="J61" s="3"/>
    </row>
    <row r="62" spans="1:10" x14ac:dyDescent="0.3">
      <c r="A62" s="33">
        <v>61</v>
      </c>
      <c r="B62" s="34" t="s">
        <v>50</v>
      </c>
      <c r="C62" s="34" t="s">
        <v>7</v>
      </c>
      <c r="D62" s="34" t="s">
        <v>18</v>
      </c>
      <c r="E62" s="34">
        <v>30</v>
      </c>
      <c r="F62" s="35" t="s">
        <v>61</v>
      </c>
      <c r="G62" s="34" t="s">
        <v>24</v>
      </c>
      <c r="H62" s="36" t="s">
        <v>11</v>
      </c>
      <c r="I62" s="37">
        <f t="shared" si="0"/>
        <v>2030</v>
      </c>
      <c r="J62" s="3"/>
    </row>
    <row r="63" spans="1:10" x14ac:dyDescent="0.3">
      <c r="A63" s="33">
        <v>62</v>
      </c>
      <c r="B63" s="34" t="s">
        <v>42</v>
      </c>
      <c r="C63" s="34" t="s">
        <v>29</v>
      </c>
      <c r="D63" s="34" t="s">
        <v>18</v>
      </c>
      <c r="E63" s="34">
        <v>32</v>
      </c>
      <c r="F63" s="35" t="s">
        <v>27</v>
      </c>
      <c r="G63" s="34" t="s">
        <v>32</v>
      </c>
      <c r="H63" s="36" t="s">
        <v>41</v>
      </c>
      <c r="I63" s="37">
        <f t="shared" si="0"/>
        <v>2027</v>
      </c>
      <c r="J63" s="3"/>
    </row>
    <row r="64" spans="1:10" x14ac:dyDescent="0.3">
      <c r="A64" s="33">
        <v>63</v>
      </c>
      <c r="B64" s="34" t="s">
        <v>65</v>
      </c>
      <c r="C64" s="34" t="s">
        <v>26</v>
      </c>
      <c r="D64" s="34" t="s">
        <v>38</v>
      </c>
      <c r="E64" s="34">
        <v>22</v>
      </c>
      <c r="F64" s="35" t="s">
        <v>31</v>
      </c>
      <c r="G64" s="34" t="s">
        <v>19</v>
      </c>
      <c r="H64" s="36" t="s">
        <v>11</v>
      </c>
      <c r="I64" s="37">
        <f t="shared" si="0"/>
        <v>2028</v>
      </c>
      <c r="J64" s="3"/>
    </row>
    <row r="65" spans="1:10" x14ac:dyDescent="0.3">
      <c r="A65" s="33">
        <v>64</v>
      </c>
      <c r="B65" s="34" t="s">
        <v>12</v>
      </c>
      <c r="C65" s="34" t="s">
        <v>21</v>
      </c>
      <c r="D65" s="34" t="s">
        <v>30</v>
      </c>
      <c r="E65" s="34">
        <v>31</v>
      </c>
      <c r="F65" s="35" t="s">
        <v>67</v>
      </c>
      <c r="G65" s="34" t="s">
        <v>16</v>
      </c>
      <c r="H65" s="36" t="s">
        <v>11</v>
      </c>
      <c r="I65" s="37">
        <f t="shared" si="0"/>
        <v>2028</v>
      </c>
      <c r="J65" s="3"/>
    </row>
    <row r="66" spans="1:10" x14ac:dyDescent="0.3">
      <c r="A66" s="33">
        <v>65</v>
      </c>
      <c r="B66" s="34" t="s">
        <v>65</v>
      </c>
      <c r="C66" s="34" t="s">
        <v>7</v>
      </c>
      <c r="D66" s="34" t="s">
        <v>36</v>
      </c>
      <c r="E66" s="34">
        <v>18</v>
      </c>
      <c r="F66" s="35" t="s">
        <v>60</v>
      </c>
      <c r="G66" s="34" t="s">
        <v>19</v>
      </c>
      <c r="H66" s="36" t="s">
        <v>11</v>
      </c>
      <c r="I66" s="37">
        <f t="shared" si="0"/>
        <v>2028</v>
      </c>
      <c r="J66" s="3"/>
    </row>
    <row r="67" spans="1:10" x14ac:dyDescent="0.3">
      <c r="A67" s="33">
        <v>66</v>
      </c>
      <c r="B67" s="34" t="s">
        <v>20</v>
      </c>
      <c r="C67" s="34" t="s">
        <v>26</v>
      </c>
      <c r="D67" s="34" t="s">
        <v>44</v>
      </c>
      <c r="E67" s="34">
        <v>23</v>
      </c>
      <c r="F67" s="35" t="s">
        <v>60</v>
      </c>
      <c r="G67" s="34" t="s">
        <v>24</v>
      </c>
      <c r="H67" s="36" t="s">
        <v>11</v>
      </c>
      <c r="I67" s="37">
        <f t="shared" ref="I67:I101" si="1">2025 + IF(OR(G67="Surging",G67="Essential",G67="Critical"), 5, IF(OR(G67="Rising",G67="Growing",G67="Needed"), 3, IF(G67="Emerging", 2, 3)))</f>
        <v>2030</v>
      </c>
      <c r="J67" s="3"/>
    </row>
    <row r="68" spans="1:10" x14ac:dyDescent="0.3">
      <c r="A68" s="33">
        <v>67</v>
      </c>
      <c r="B68" s="34" t="s">
        <v>53</v>
      </c>
      <c r="C68" s="34" t="s">
        <v>35</v>
      </c>
      <c r="D68" s="34" t="s">
        <v>44</v>
      </c>
      <c r="E68" s="34">
        <v>10</v>
      </c>
      <c r="F68" s="35" t="s">
        <v>62</v>
      </c>
      <c r="G68" s="34" t="s">
        <v>10</v>
      </c>
      <c r="H68" s="36" t="s">
        <v>11</v>
      </c>
      <c r="I68" s="37">
        <f t="shared" si="1"/>
        <v>2030</v>
      </c>
      <c r="J68" s="3"/>
    </row>
    <row r="69" spans="1:10" x14ac:dyDescent="0.3">
      <c r="A69" s="33">
        <v>68</v>
      </c>
      <c r="B69" s="34" t="s">
        <v>25</v>
      </c>
      <c r="C69" s="34" t="s">
        <v>39</v>
      </c>
      <c r="D69" s="34" t="s">
        <v>22</v>
      </c>
      <c r="E69" s="34">
        <v>6</v>
      </c>
      <c r="F69" s="35" t="s">
        <v>34</v>
      </c>
      <c r="G69" s="34" t="s">
        <v>10</v>
      </c>
      <c r="H69" s="36" t="s">
        <v>11</v>
      </c>
      <c r="I69" s="37">
        <f t="shared" si="1"/>
        <v>2030</v>
      </c>
      <c r="J69" s="3"/>
    </row>
    <row r="70" spans="1:10" x14ac:dyDescent="0.3">
      <c r="A70" s="33">
        <v>69</v>
      </c>
      <c r="B70" s="34" t="s">
        <v>63</v>
      </c>
      <c r="C70" s="34" t="s">
        <v>21</v>
      </c>
      <c r="D70" s="34" t="s">
        <v>30</v>
      </c>
      <c r="E70" s="34">
        <v>36</v>
      </c>
      <c r="F70" s="35" t="s">
        <v>67</v>
      </c>
      <c r="G70" s="34" t="s">
        <v>24</v>
      </c>
      <c r="H70" s="36" t="s">
        <v>11</v>
      </c>
      <c r="I70" s="37">
        <f t="shared" si="1"/>
        <v>2030</v>
      </c>
      <c r="J70" s="3"/>
    </row>
    <row r="71" spans="1:10" x14ac:dyDescent="0.3">
      <c r="A71" s="33">
        <v>70</v>
      </c>
      <c r="B71" s="34" t="s">
        <v>63</v>
      </c>
      <c r="C71" s="34" t="s">
        <v>39</v>
      </c>
      <c r="D71" s="34" t="s">
        <v>36</v>
      </c>
      <c r="E71" s="34">
        <v>31</v>
      </c>
      <c r="F71" s="35" t="s">
        <v>61</v>
      </c>
      <c r="G71" s="34" t="s">
        <v>24</v>
      </c>
      <c r="H71" s="36" t="s">
        <v>11</v>
      </c>
      <c r="I71" s="37">
        <f t="shared" si="1"/>
        <v>2030</v>
      </c>
      <c r="J71" s="3"/>
    </row>
    <row r="72" spans="1:10" x14ac:dyDescent="0.3">
      <c r="A72" s="33">
        <v>71</v>
      </c>
      <c r="B72" s="34" t="s">
        <v>12</v>
      </c>
      <c r="C72" s="34" t="s">
        <v>21</v>
      </c>
      <c r="D72" s="34" t="s">
        <v>8</v>
      </c>
      <c r="E72" s="34">
        <v>32</v>
      </c>
      <c r="F72" s="35" t="s">
        <v>34</v>
      </c>
      <c r="G72" s="34" t="s">
        <v>16</v>
      </c>
      <c r="H72" s="36" t="s">
        <v>11</v>
      </c>
      <c r="I72" s="37">
        <f t="shared" si="1"/>
        <v>2028</v>
      </c>
      <c r="J72" s="3"/>
    </row>
    <row r="73" spans="1:10" x14ac:dyDescent="0.3">
      <c r="A73" s="33">
        <v>72</v>
      </c>
      <c r="B73" s="34" t="s">
        <v>50</v>
      </c>
      <c r="C73" s="34" t="s">
        <v>39</v>
      </c>
      <c r="D73" s="34" t="s">
        <v>8</v>
      </c>
      <c r="E73" s="34">
        <v>39</v>
      </c>
      <c r="F73" s="35" t="s">
        <v>54</v>
      </c>
      <c r="G73" s="34" t="s">
        <v>24</v>
      </c>
      <c r="H73" s="36" t="s">
        <v>11</v>
      </c>
      <c r="I73" s="37">
        <f t="shared" si="1"/>
        <v>2030</v>
      </c>
      <c r="J73" s="3"/>
    </row>
    <row r="74" spans="1:10" x14ac:dyDescent="0.3">
      <c r="A74" s="33">
        <v>73</v>
      </c>
      <c r="B74" s="34" t="s">
        <v>40</v>
      </c>
      <c r="C74" s="34" t="s">
        <v>7</v>
      </c>
      <c r="D74" s="34" t="s">
        <v>38</v>
      </c>
      <c r="E74" s="34">
        <v>6</v>
      </c>
      <c r="F74" s="35" t="s">
        <v>67</v>
      </c>
      <c r="G74" s="34" t="s">
        <v>16</v>
      </c>
      <c r="H74" s="36" t="s">
        <v>41</v>
      </c>
      <c r="I74" s="37">
        <f t="shared" si="1"/>
        <v>2028</v>
      </c>
      <c r="J74" s="3"/>
    </row>
    <row r="75" spans="1:10" x14ac:dyDescent="0.3">
      <c r="A75" s="33">
        <v>74</v>
      </c>
      <c r="B75" s="34" t="s">
        <v>25</v>
      </c>
      <c r="C75" s="34" t="s">
        <v>17</v>
      </c>
      <c r="D75" s="34" t="s">
        <v>22</v>
      </c>
      <c r="E75" s="34">
        <v>6</v>
      </c>
      <c r="F75" s="35" t="s">
        <v>23</v>
      </c>
      <c r="G75" s="34" t="s">
        <v>10</v>
      </c>
      <c r="H75" s="36" t="s">
        <v>11</v>
      </c>
      <c r="I75" s="37">
        <f t="shared" si="1"/>
        <v>2030</v>
      </c>
      <c r="J75" s="3"/>
    </row>
    <row r="76" spans="1:10" x14ac:dyDescent="0.3">
      <c r="A76" s="33">
        <v>75</v>
      </c>
      <c r="B76" s="34" t="s">
        <v>37</v>
      </c>
      <c r="C76" s="34" t="s">
        <v>57</v>
      </c>
      <c r="D76" s="34" t="s">
        <v>36</v>
      </c>
      <c r="E76" s="34">
        <v>19</v>
      </c>
      <c r="F76" s="35" t="s">
        <v>62</v>
      </c>
      <c r="G76" s="34" t="s">
        <v>16</v>
      </c>
      <c r="H76" s="36" t="s">
        <v>28</v>
      </c>
      <c r="I76" s="37">
        <f t="shared" si="1"/>
        <v>2028</v>
      </c>
      <c r="J76" s="3"/>
    </row>
    <row r="77" spans="1:10" x14ac:dyDescent="0.3">
      <c r="A77" s="33">
        <v>76</v>
      </c>
      <c r="B77" s="34" t="s">
        <v>42</v>
      </c>
      <c r="C77" s="34" t="s">
        <v>33</v>
      </c>
      <c r="D77" s="34" t="s">
        <v>8</v>
      </c>
      <c r="E77" s="34">
        <v>25</v>
      </c>
      <c r="F77" s="35" t="s">
        <v>31</v>
      </c>
      <c r="G77" s="34" t="s">
        <v>32</v>
      </c>
      <c r="H77" s="36" t="s">
        <v>28</v>
      </c>
      <c r="I77" s="37">
        <f t="shared" si="1"/>
        <v>2027</v>
      </c>
      <c r="J77" s="3"/>
    </row>
    <row r="78" spans="1:10" x14ac:dyDescent="0.3">
      <c r="A78" s="33">
        <v>77</v>
      </c>
      <c r="B78" s="34" t="s">
        <v>64</v>
      </c>
      <c r="C78" s="34" t="s">
        <v>13</v>
      </c>
      <c r="D78" s="34" t="s">
        <v>8</v>
      </c>
      <c r="E78" s="34">
        <v>41</v>
      </c>
      <c r="F78" s="35" t="s">
        <v>67</v>
      </c>
      <c r="G78" s="34" t="s">
        <v>32</v>
      </c>
      <c r="H78" s="36" t="s">
        <v>41</v>
      </c>
      <c r="I78" s="37">
        <f t="shared" si="1"/>
        <v>2027</v>
      </c>
      <c r="J78" s="3"/>
    </row>
    <row r="79" spans="1:10" x14ac:dyDescent="0.3">
      <c r="A79" s="33">
        <v>78</v>
      </c>
      <c r="B79" s="34" t="s">
        <v>52</v>
      </c>
      <c r="C79" s="34" t="s">
        <v>7</v>
      </c>
      <c r="D79" s="34" t="s">
        <v>8</v>
      </c>
      <c r="E79" s="34">
        <v>13</v>
      </c>
      <c r="F79" s="35" t="s">
        <v>15</v>
      </c>
      <c r="G79" s="34" t="s">
        <v>19</v>
      </c>
      <c r="H79" s="36" t="s">
        <v>28</v>
      </c>
      <c r="I79" s="37">
        <f t="shared" si="1"/>
        <v>2028</v>
      </c>
      <c r="J79" s="3"/>
    </row>
    <row r="80" spans="1:10" x14ac:dyDescent="0.3">
      <c r="A80" s="33">
        <v>79</v>
      </c>
      <c r="B80" s="34" t="s">
        <v>63</v>
      </c>
      <c r="C80" s="34" t="s">
        <v>29</v>
      </c>
      <c r="D80" s="34" t="s">
        <v>14</v>
      </c>
      <c r="E80" s="34">
        <v>22</v>
      </c>
      <c r="F80" s="35" t="s">
        <v>62</v>
      </c>
      <c r="G80" s="34" t="s">
        <v>24</v>
      </c>
      <c r="H80" s="36" t="s">
        <v>11</v>
      </c>
      <c r="I80" s="37">
        <f t="shared" si="1"/>
        <v>2030</v>
      </c>
      <c r="J80" s="3"/>
    </row>
    <row r="81" spans="1:10" x14ac:dyDescent="0.3">
      <c r="A81" s="33">
        <v>80</v>
      </c>
      <c r="B81" s="34" t="s">
        <v>65</v>
      </c>
      <c r="C81" s="34" t="s">
        <v>45</v>
      </c>
      <c r="D81" s="34" t="s">
        <v>8</v>
      </c>
      <c r="E81" s="34">
        <v>18</v>
      </c>
      <c r="F81" s="35" t="s">
        <v>61</v>
      </c>
      <c r="G81" s="34" t="s">
        <v>19</v>
      </c>
      <c r="H81" s="36" t="s">
        <v>28</v>
      </c>
      <c r="I81" s="37">
        <f t="shared" si="1"/>
        <v>2028</v>
      </c>
      <c r="J81" s="3"/>
    </row>
    <row r="82" spans="1:10" x14ac:dyDescent="0.3">
      <c r="A82" s="33">
        <v>81</v>
      </c>
      <c r="B82" s="34" t="s">
        <v>25</v>
      </c>
      <c r="C82" s="34" t="s">
        <v>13</v>
      </c>
      <c r="D82" s="34" t="s">
        <v>36</v>
      </c>
      <c r="E82" s="34">
        <v>8</v>
      </c>
      <c r="F82" s="35" t="s">
        <v>9</v>
      </c>
      <c r="G82" s="34" t="s">
        <v>10</v>
      </c>
      <c r="H82" s="36" t="s">
        <v>11</v>
      </c>
      <c r="I82" s="37">
        <f t="shared" si="1"/>
        <v>2030</v>
      </c>
      <c r="J82" s="3"/>
    </row>
    <row r="83" spans="1:10" x14ac:dyDescent="0.3">
      <c r="A83" s="33">
        <v>82</v>
      </c>
      <c r="B83" s="34" t="s">
        <v>6</v>
      </c>
      <c r="C83" s="34" t="s">
        <v>35</v>
      </c>
      <c r="D83" s="34" t="s">
        <v>8</v>
      </c>
      <c r="E83" s="34">
        <v>18</v>
      </c>
      <c r="F83" s="35" t="s">
        <v>23</v>
      </c>
      <c r="G83" s="34" t="s">
        <v>10</v>
      </c>
      <c r="H83" s="36" t="s">
        <v>11</v>
      </c>
      <c r="I83" s="37">
        <f t="shared" si="1"/>
        <v>2030</v>
      </c>
      <c r="J83" s="3"/>
    </row>
    <row r="84" spans="1:10" x14ac:dyDescent="0.3">
      <c r="A84" s="33">
        <v>83</v>
      </c>
      <c r="B84" s="34" t="s">
        <v>64</v>
      </c>
      <c r="C84" s="34" t="s">
        <v>57</v>
      </c>
      <c r="D84" s="34" t="s">
        <v>30</v>
      </c>
      <c r="E84" s="34">
        <v>32</v>
      </c>
      <c r="F84" s="35" t="s">
        <v>62</v>
      </c>
      <c r="G84" s="34" t="s">
        <v>32</v>
      </c>
      <c r="H84" s="36" t="s">
        <v>28</v>
      </c>
      <c r="I84" s="37">
        <f t="shared" si="1"/>
        <v>2027</v>
      </c>
      <c r="J84" s="3"/>
    </row>
    <row r="85" spans="1:10" x14ac:dyDescent="0.3">
      <c r="A85" s="33">
        <v>84</v>
      </c>
      <c r="B85" s="34" t="s">
        <v>6</v>
      </c>
      <c r="C85" s="34" t="s">
        <v>35</v>
      </c>
      <c r="D85" s="34" t="s">
        <v>8</v>
      </c>
      <c r="E85" s="34">
        <v>14</v>
      </c>
      <c r="F85" s="35" t="s">
        <v>60</v>
      </c>
      <c r="G85" s="34" t="s">
        <v>10</v>
      </c>
      <c r="H85" s="36" t="s">
        <v>11</v>
      </c>
      <c r="I85" s="37">
        <f t="shared" si="1"/>
        <v>2030</v>
      </c>
      <c r="J85" s="3"/>
    </row>
    <row r="86" spans="1:10" x14ac:dyDescent="0.3">
      <c r="A86" s="33">
        <v>85</v>
      </c>
      <c r="B86" s="34" t="s">
        <v>20</v>
      </c>
      <c r="C86" s="34" t="s">
        <v>49</v>
      </c>
      <c r="D86" s="34" t="s">
        <v>44</v>
      </c>
      <c r="E86" s="34">
        <v>18</v>
      </c>
      <c r="F86" s="35" t="s">
        <v>15</v>
      </c>
      <c r="G86" s="34" t="s">
        <v>24</v>
      </c>
      <c r="H86" s="36" t="s">
        <v>11</v>
      </c>
      <c r="I86" s="37">
        <f t="shared" si="1"/>
        <v>2030</v>
      </c>
      <c r="J86" s="3"/>
    </row>
    <row r="87" spans="1:10" x14ac:dyDescent="0.3">
      <c r="A87" s="33">
        <v>86</v>
      </c>
      <c r="B87" s="34" t="s">
        <v>37</v>
      </c>
      <c r="C87" s="34" t="s">
        <v>13</v>
      </c>
      <c r="D87" s="34" t="s">
        <v>38</v>
      </c>
      <c r="E87" s="34">
        <v>20</v>
      </c>
      <c r="F87" s="35" t="s">
        <v>23</v>
      </c>
      <c r="G87" s="34" t="s">
        <v>16</v>
      </c>
      <c r="H87" s="36" t="s">
        <v>11</v>
      </c>
      <c r="I87" s="37">
        <f t="shared" si="1"/>
        <v>2028</v>
      </c>
      <c r="J87" s="3"/>
    </row>
    <row r="88" spans="1:10" x14ac:dyDescent="0.3">
      <c r="A88" s="33">
        <v>87</v>
      </c>
      <c r="B88" s="34" t="s">
        <v>65</v>
      </c>
      <c r="C88" s="34" t="s">
        <v>26</v>
      </c>
      <c r="D88" s="34" t="s">
        <v>30</v>
      </c>
      <c r="E88" s="34">
        <v>16</v>
      </c>
      <c r="F88" s="35" t="s">
        <v>62</v>
      </c>
      <c r="G88" s="34" t="s">
        <v>19</v>
      </c>
      <c r="H88" s="36" t="s">
        <v>28</v>
      </c>
      <c r="I88" s="37">
        <f t="shared" si="1"/>
        <v>2028</v>
      </c>
      <c r="J88" s="3"/>
    </row>
    <row r="89" spans="1:10" x14ac:dyDescent="0.3">
      <c r="A89" s="33">
        <v>88</v>
      </c>
      <c r="B89" s="34" t="s">
        <v>63</v>
      </c>
      <c r="C89" s="34" t="s">
        <v>57</v>
      </c>
      <c r="D89" s="34" t="s">
        <v>44</v>
      </c>
      <c r="E89" s="34">
        <v>40</v>
      </c>
      <c r="F89" s="35" t="s">
        <v>23</v>
      </c>
      <c r="G89" s="34" t="s">
        <v>24</v>
      </c>
      <c r="H89" s="36" t="s">
        <v>11</v>
      </c>
      <c r="I89" s="37">
        <f t="shared" si="1"/>
        <v>2030</v>
      </c>
      <c r="J89" s="3"/>
    </row>
    <row r="90" spans="1:10" x14ac:dyDescent="0.3">
      <c r="A90" s="33">
        <v>89</v>
      </c>
      <c r="B90" s="34" t="s">
        <v>20</v>
      </c>
      <c r="C90" s="34" t="s">
        <v>43</v>
      </c>
      <c r="D90" s="34" t="s">
        <v>44</v>
      </c>
      <c r="E90" s="34">
        <v>19</v>
      </c>
      <c r="F90" s="35" t="s">
        <v>34</v>
      </c>
      <c r="G90" s="34" t="s">
        <v>24</v>
      </c>
      <c r="H90" s="36" t="s">
        <v>11</v>
      </c>
      <c r="I90" s="37">
        <f t="shared" si="1"/>
        <v>2030</v>
      </c>
      <c r="J90" s="3"/>
    </row>
    <row r="91" spans="1:10" x14ac:dyDescent="0.3">
      <c r="A91" s="33">
        <v>90</v>
      </c>
      <c r="B91" s="34" t="s">
        <v>50</v>
      </c>
      <c r="C91" s="34" t="s">
        <v>29</v>
      </c>
      <c r="D91" s="34" t="s">
        <v>36</v>
      </c>
      <c r="E91" s="34">
        <v>19</v>
      </c>
      <c r="F91" s="35" t="s">
        <v>60</v>
      </c>
      <c r="G91" s="34" t="s">
        <v>24</v>
      </c>
      <c r="H91" s="36" t="s">
        <v>11</v>
      </c>
      <c r="I91" s="37">
        <f t="shared" si="1"/>
        <v>2030</v>
      </c>
      <c r="J91" s="3"/>
    </row>
    <row r="92" spans="1:10" x14ac:dyDescent="0.3">
      <c r="A92" s="33">
        <v>91</v>
      </c>
      <c r="B92" s="34" t="s">
        <v>42</v>
      </c>
      <c r="C92" s="34" t="s">
        <v>21</v>
      </c>
      <c r="D92" s="34" t="s">
        <v>22</v>
      </c>
      <c r="E92" s="34">
        <v>29</v>
      </c>
      <c r="F92" s="35" t="s">
        <v>15</v>
      </c>
      <c r="G92" s="34" t="s">
        <v>32</v>
      </c>
      <c r="H92" s="36" t="s">
        <v>41</v>
      </c>
      <c r="I92" s="37">
        <f t="shared" si="1"/>
        <v>2027</v>
      </c>
      <c r="J92" s="3"/>
    </row>
    <row r="93" spans="1:10" x14ac:dyDescent="0.3">
      <c r="A93" s="33">
        <v>92</v>
      </c>
      <c r="B93" s="34" t="s">
        <v>63</v>
      </c>
      <c r="C93" s="34" t="s">
        <v>49</v>
      </c>
      <c r="D93" s="34" t="s">
        <v>18</v>
      </c>
      <c r="E93" s="34">
        <v>29</v>
      </c>
      <c r="F93" s="35" t="s">
        <v>67</v>
      </c>
      <c r="G93" s="34" t="s">
        <v>24</v>
      </c>
      <c r="H93" s="36" t="s">
        <v>11</v>
      </c>
      <c r="I93" s="37">
        <f t="shared" si="1"/>
        <v>2030</v>
      </c>
      <c r="J93" s="3"/>
    </row>
    <row r="94" spans="1:10" x14ac:dyDescent="0.3">
      <c r="A94" s="33">
        <v>93</v>
      </c>
      <c r="B94" s="34" t="s">
        <v>65</v>
      </c>
      <c r="C94" s="34" t="s">
        <v>57</v>
      </c>
      <c r="D94" s="34" t="s">
        <v>22</v>
      </c>
      <c r="E94" s="34">
        <v>12</v>
      </c>
      <c r="F94" s="35" t="s">
        <v>31</v>
      </c>
      <c r="G94" s="34" t="s">
        <v>19</v>
      </c>
      <c r="H94" s="36" t="s">
        <v>11</v>
      </c>
      <c r="I94" s="37">
        <f t="shared" si="1"/>
        <v>2028</v>
      </c>
      <c r="J94" s="3"/>
    </row>
    <row r="95" spans="1:10" x14ac:dyDescent="0.3">
      <c r="A95" s="33">
        <v>94</v>
      </c>
      <c r="B95" s="34" t="s">
        <v>52</v>
      </c>
      <c r="C95" s="34" t="s">
        <v>57</v>
      </c>
      <c r="D95" s="34" t="s">
        <v>18</v>
      </c>
      <c r="E95" s="34">
        <v>7</v>
      </c>
      <c r="F95" s="35" t="s">
        <v>60</v>
      </c>
      <c r="G95" s="34" t="s">
        <v>19</v>
      </c>
      <c r="H95" s="36" t="s">
        <v>11</v>
      </c>
      <c r="I95" s="37">
        <f t="shared" si="1"/>
        <v>2028</v>
      </c>
      <c r="J95" s="3"/>
    </row>
    <row r="96" spans="1:10" x14ac:dyDescent="0.3">
      <c r="A96" s="33">
        <v>95</v>
      </c>
      <c r="B96" s="34" t="s">
        <v>50</v>
      </c>
      <c r="C96" s="34" t="s">
        <v>49</v>
      </c>
      <c r="D96" s="34" t="s">
        <v>18</v>
      </c>
      <c r="E96" s="34">
        <v>28</v>
      </c>
      <c r="F96" s="35" t="s">
        <v>15</v>
      </c>
      <c r="G96" s="34" t="s">
        <v>24</v>
      </c>
      <c r="H96" s="36" t="s">
        <v>11</v>
      </c>
      <c r="I96" s="37">
        <f t="shared" si="1"/>
        <v>2030</v>
      </c>
      <c r="J96" s="3"/>
    </row>
    <row r="97" spans="1:10" x14ac:dyDescent="0.3">
      <c r="A97" s="33">
        <v>96</v>
      </c>
      <c r="B97" s="34" t="s">
        <v>66</v>
      </c>
      <c r="C97" s="34" t="s">
        <v>29</v>
      </c>
      <c r="D97" s="34" t="s">
        <v>44</v>
      </c>
      <c r="E97" s="34">
        <v>22</v>
      </c>
      <c r="F97" s="35" t="s">
        <v>27</v>
      </c>
      <c r="G97" s="34" t="s">
        <v>56</v>
      </c>
      <c r="H97" s="36" t="s">
        <v>11</v>
      </c>
      <c r="I97" s="37">
        <f t="shared" si="1"/>
        <v>2028</v>
      </c>
      <c r="J97" s="3"/>
    </row>
    <row r="98" spans="1:10" x14ac:dyDescent="0.3">
      <c r="A98" s="33">
        <v>97</v>
      </c>
      <c r="B98" s="34" t="s">
        <v>63</v>
      </c>
      <c r="C98" s="34" t="s">
        <v>35</v>
      </c>
      <c r="D98" s="34" t="s">
        <v>30</v>
      </c>
      <c r="E98" s="34">
        <v>30</v>
      </c>
      <c r="F98" s="35" t="s">
        <v>54</v>
      </c>
      <c r="G98" s="34" t="s">
        <v>24</v>
      </c>
      <c r="H98" s="36" t="s">
        <v>11</v>
      </c>
      <c r="I98" s="37">
        <f t="shared" si="1"/>
        <v>2030</v>
      </c>
      <c r="J98" s="3"/>
    </row>
    <row r="99" spans="1:10" x14ac:dyDescent="0.3">
      <c r="A99" s="33">
        <v>98</v>
      </c>
      <c r="B99" s="34" t="s">
        <v>12</v>
      </c>
      <c r="C99" s="34" t="s">
        <v>35</v>
      </c>
      <c r="D99" s="34" t="s">
        <v>38</v>
      </c>
      <c r="E99" s="34">
        <v>28</v>
      </c>
      <c r="F99" s="35" t="s">
        <v>46</v>
      </c>
      <c r="G99" s="34" t="s">
        <v>16</v>
      </c>
      <c r="H99" s="36" t="s">
        <v>11</v>
      </c>
      <c r="I99" s="37">
        <f t="shared" si="1"/>
        <v>2028</v>
      </c>
      <c r="J99" s="3"/>
    </row>
    <row r="100" spans="1:10" x14ac:dyDescent="0.3">
      <c r="A100" s="33">
        <v>99</v>
      </c>
      <c r="B100" s="34" t="s">
        <v>37</v>
      </c>
      <c r="C100" s="34" t="s">
        <v>21</v>
      </c>
      <c r="D100" s="34" t="s">
        <v>30</v>
      </c>
      <c r="E100" s="34">
        <v>22</v>
      </c>
      <c r="F100" s="35" t="s">
        <v>15</v>
      </c>
      <c r="G100" s="34" t="s">
        <v>16</v>
      </c>
      <c r="H100" s="36" t="s">
        <v>11</v>
      </c>
      <c r="I100" s="37">
        <f t="shared" si="1"/>
        <v>2028</v>
      </c>
      <c r="J100" s="3"/>
    </row>
    <row r="101" spans="1:10" x14ac:dyDescent="0.3">
      <c r="A101" s="33">
        <v>100</v>
      </c>
      <c r="B101" s="34" t="s">
        <v>12</v>
      </c>
      <c r="C101" s="34" t="s">
        <v>33</v>
      </c>
      <c r="D101" s="34" t="s">
        <v>8</v>
      </c>
      <c r="E101" s="34">
        <v>34</v>
      </c>
      <c r="F101" s="35" t="s">
        <v>62</v>
      </c>
      <c r="G101" s="34" t="s">
        <v>16</v>
      </c>
      <c r="H101" s="36" t="s">
        <v>28</v>
      </c>
      <c r="I101" s="37">
        <f t="shared" si="1"/>
        <v>2028</v>
      </c>
      <c r="J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</vt:lpstr>
      <vt:lpstr>jobs_dataset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Jeshu Denzil Deve</dc:creator>
  <cp:lastModifiedBy>Jeshu Denzil Deve</cp:lastModifiedBy>
  <dcterms:created xsi:type="dcterms:W3CDTF">2025-11-05T06:35:50Z</dcterms:created>
  <dcterms:modified xsi:type="dcterms:W3CDTF">2025-11-10T13:39:49Z</dcterms:modified>
</cp:coreProperties>
</file>